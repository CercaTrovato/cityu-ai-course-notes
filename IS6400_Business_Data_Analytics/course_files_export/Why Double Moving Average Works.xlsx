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81de505dca25a4/projects/stuffs/IS6400/2025spring/Week 7 Slide/"/>
    </mc:Choice>
  </mc:AlternateContent>
  <xr:revisionPtr revIDLastSave="85" documentId="8_{4F12A55B-A881-894E-A33C-41AD70FC9EFB}" xr6:coauthVersionLast="47" xr6:coauthVersionMax="47" xr10:uidLastSave="{11A12531-F205-B746-AFC1-C32ED74FE31F}"/>
  <bookViews>
    <workbookView xWindow="0" yWindow="740" windowWidth="30240" windowHeight="18900" xr2:uid="{35C42271-4976-1A4D-9B9C-C26A16113E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4" i="1"/>
  <c r="D11" i="1" l="1"/>
  <c r="D7" i="1"/>
  <c r="E7" i="1" s="1"/>
  <c r="D6" i="1"/>
  <c r="G6" i="1" s="1"/>
  <c r="D9" i="1"/>
  <c r="G9" i="1" s="1"/>
  <c r="D10" i="1"/>
  <c r="F6" i="1"/>
  <c r="F7" i="1"/>
  <c r="G7" i="1"/>
  <c r="D12" i="1"/>
  <c r="E12" i="1" s="1"/>
  <c r="D8" i="1"/>
  <c r="G8" i="1" s="1"/>
  <c r="E6" i="1" l="1"/>
  <c r="E8" i="1"/>
  <c r="F10" i="1"/>
  <c r="E10" i="1"/>
  <c r="F11" i="1"/>
  <c r="E11" i="1"/>
  <c r="F9" i="1"/>
  <c r="E9" i="1"/>
  <c r="H10" i="1"/>
  <c r="G11" i="1"/>
  <c r="H12" i="1" s="1"/>
  <c r="G10" i="1"/>
  <c r="H11" i="1" s="1"/>
  <c r="H8" i="1"/>
  <c r="H7" i="1"/>
  <c r="F8" i="1"/>
  <c r="H9" i="1" s="1"/>
  <c r="G12" i="1"/>
  <c r="F12" i="1"/>
</calcChain>
</file>

<file path=xl/sharedStrings.xml><?xml version="1.0" encoding="utf-8"?>
<sst xmlns="http://schemas.openxmlformats.org/spreadsheetml/2006/main" count="8" uniqueCount="8">
  <si>
    <t>month</t>
  </si>
  <si>
    <t>sales</t>
  </si>
  <si>
    <t>Dt(n=3)</t>
  </si>
  <si>
    <t>Lt=Mt+(Mt-Dt)</t>
  </si>
  <si>
    <t>T=2(Mt-Dt)/(n-1)</t>
  </si>
  <si>
    <t>Forcast</t>
  </si>
  <si>
    <t>Mt-Dt</t>
  </si>
  <si>
    <t>shift(1)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</si>
</sst>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Sales,</a:t>
            </a:r>
            <a:r>
              <a:rPr lang="zh-CN" altLang="en-US"/>
              <a:t> </a:t>
            </a:r>
            <a:r>
              <a:rPr lang="en-US" altLang="zh-CN"/>
              <a:t>Mt,</a:t>
            </a:r>
            <a:r>
              <a:rPr lang="zh-CN" altLang="en-US" baseline="0"/>
              <a:t> </a:t>
            </a:r>
            <a:r>
              <a:rPr lang="en-US" altLang="zh-CN" baseline="0"/>
              <a:t>Dt</a:t>
            </a:r>
            <a:r>
              <a:rPr lang="zh-CN" altLang="en-US" baseline="0"/>
              <a:t> </a:t>
            </a:r>
            <a:r>
              <a:rPr lang="en-US" altLang="zh-CN" baseline="0"/>
              <a:t>and</a:t>
            </a:r>
            <a:r>
              <a:rPr lang="zh-CN" altLang="en-US" baseline="0"/>
              <a:t> </a:t>
            </a:r>
            <a:r>
              <a:rPr lang="en-US" altLang="zh-CN" baseline="0"/>
              <a:t>Lt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Sheet1!$B$2:$B$12</c:f>
              <c:numCache>
                <c:formatCode>0.0</c:formatCode>
                <c:ptCount val="11"/>
                <c:pt idx="0">
                  <c:v>100</c:v>
                </c:pt>
                <c:pt idx="1">
                  <c:v>104</c:v>
                </c:pt>
                <c:pt idx="2">
                  <c:v>112</c:v>
                </c:pt>
                <c:pt idx="3">
                  <c:v>113</c:v>
                </c:pt>
                <c:pt idx="4">
                  <c:v>124</c:v>
                </c:pt>
                <c:pt idx="5">
                  <c:v>125</c:v>
                </c:pt>
                <c:pt idx="6">
                  <c:v>130</c:v>
                </c:pt>
                <c:pt idx="7">
                  <c:v>134</c:v>
                </c:pt>
                <c:pt idx="8">
                  <c:v>140</c:v>
                </c:pt>
                <c:pt idx="9">
                  <c:v>144</c:v>
                </c:pt>
                <c:pt idx="10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71-B446-976D-32B58B59F8E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shift(1)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Sheet1!$C$2:$C$12</c:f>
              <c:numCache>
                <c:formatCode>0.0</c:formatCode>
                <c:ptCount val="11"/>
                <c:pt idx="2">
                  <c:v>105.33333333333333</c:v>
                </c:pt>
                <c:pt idx="3">
                  <c:v>109.66666666666667</c:v>
                </c:pt>
                <c:pt idx="4">
                  <c:v>116.33333333333333</c:v>
                </c:pt>
                <c:pt idx="5">
                  <c:v>120.66666666666667</c:v>
                </c:pt>
                <c:pt idx="6">
                  <c:v>126.33333333333333</c:v>
                </c:pt>
                <c:pt idx="7">
                  <c:v>129.66666666666666</c:v>
                </c:pt>
                <c:pt idx="8">
                  <c:v>134.66666666666666</c:v>
                </c:pt>
                <c:pt idx="9">
                  <c:v>139.33333333333334</c:v>
                </c:pt>
                <c:pt idx="10">
                  <c:v>145.33333333333334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71-B446-976D-32B58B59F8E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Dt(n=3)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Sheet1!$D$2:$D$12</c:f>
              <c:numCache>
                <c:formatCode>0.0</c:formatCode>
                <c:ptCount val="11"/>
                <c:pt idx="4">
                  <c:v>110.44444444444444</c:v>
                </c:pt>
                <c:pt idx="5">
                  <c:v>115.55555555555556</c:v>
                </c:pt>
                <c:pt idx="6">
                  <c:v>121.1111111111111</c:v>
                </c:pt>
                <c:pt idx="7">
                  <c:v>125.55555555555554</c:v>
                </c:pt>
                <c:pt idx="8">
                  <c:v>130.2222222222222</c:v>
                </c:pt>
                <c:pt idx="9">
                  <c:v>134.55555555555554</c:v>
                </c:pt>
                <c:pt idx="10">
                  <c:v>139.7777777777778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71-B446-976D-32B58B59F8E3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Lt=Mt+(Mt-Dt)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Sheet1!$F$2:$F$12</c:f>
              <c:numCache>
                <c:formatCode>0.0</c:formatCode>
                <c:ptCount val="11"/>
                <c:pt idx="4">
                  <c:v>122.22222222222221</c:v>
                </c:pt>
                <c:pt idx="5">
                  <c:v>125.77777777777779</c:v>
                </c:pt>
                <c:pt idx="6">
                  <c:v>131.55555555555554</c:v>
                </c:pt>
                <c:pt idx="7">
                  <c:v>133.77777777777777</c:v>
                </c:pt>
                <c:pt idx="8">
                  <c:v>139.11111111111111</c:v>
                </c:pt>
                <c:pt idx="9">
                  <c:v>144.11111111111114</c:v>
                </c:pt>
                <c:pt idx="10">
                  <c:v>150.88888888888889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71-B446-976D-32B58B59F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258927"/>
        <c:axId val="152260639"/>
      </c:lineChart>
      <c:catAx>
        <c:axId val="152258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60639"/>
        <c:crosses val="autoZero"/>
        <c:auto val="1"/>
        <c:lblAlgn val="ctr"/>
        <c:lblOffset val="100"/>
        <c:noMultiLvlLbl val="0"/>
      </c:catAx>
      <c:valAx>
        <c:axId val="152260639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5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Mt-Dt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Mt-Dt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Sheet1!$E$2:$E$12</c:f>
              <c:numCache>
                <c:formatCode>0.0</c:formatCode>
                <c:ptCount val="11"/>
                <c:pt idx="4">
                  <c:v>5.8888888888888857</c:v>
                </c:pt>
                <c:pt idx="5">
                  <c:v>5.1111111111111143</c:v>
                </c:pt>
                <c:pt idx="6">
                  <c:v>5.2222222222222285</c:v>
                </c:pt>
                <c:pt idx="7">
                  <c:v>4.1111111111111143</c:v>
                </c:pt>
                <c:pt idx="8">
                  <c:v>4.4444444444444571</c:v>
                </c:pt>
                <c:pt idx="9">
                  <c:v>4.7777777777777999</c:v>
                </c:pt>
                <c:pt idx="10">
                  <c:v>5.5555555555555429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B-BD4E-BFFC-8C6825656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258927"/>
        <c:axId val="152260639"/>
      </c:lineChart>
      <c:catAx>
        <c:axId val="152258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60639"/>
        <c:crosses val="autoZero"/>
        <c:auto val="1"/>
        <c:lblAlgn val="ctr"/>
        <c:lblOffset val="100"/>
        <c:noMultiLvlLbl val="0"/>
      </c:catAx>
      <c:valAx>
        <c:axId val="152260639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5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13</xdr:row>
      <xdr:rowOff>50800</xdr:rowOff>
    </xdr:from>
    <xdr:to>
      <xdr:col>7</xdr:col>
      <xdr:colOff>596900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6C0610-6C46-6440-0725-BE267CBA9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101600</xdr:colOff>
      <xdr:row>29</xdr:row>
      <xdr:rowOff>63500</xdr:rowOff>
    </xdr:from>
    <xdr:to>
      <xdr:col>7</xdr:col>
      <xdr:colOff>609600</xdr:colOff>
      <xdr:row>39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694444-B2FC-DA4D-A6D8-6727FA9B8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F8E4-A9A0-1D41-8CA5-AFB78B31375B}">
  <dimension ref="A1:H12"/>
  <sheetViews>
    <sheetView tabSelected="1" workbookViewId="0">
      <selection activeCell="C1" sqref="C1"/>
    </sheetView>
  </sheetViews>
  <sheetFormatPr baseColWidth="10" defaultRowHeight="16" x14ac:dyDescent="0.2"/>
  <cols>
    <col min="2" max="5" width="10.83203125" style="1"/>
    <col min="6" max="6" width="13" style="1" bestFit="1" customWidth="1"/>
    <col min="7" max="7" width="14.83203125" style="1" bestFit="1" customWidth="1"/>
    <col min="8" max="8" width="10.83203125" style="1"/>
  </cols>
  <sheetData>
    <row r="1" spans="1:8" ht="32" customHeight="1" x14ac:dyDescent="0.2">
      <c r="A1" t="s">
        <v>0</v>
      </c>
      <c r="B1" s="1" t="s">
        <v>1</v>
      </c>
      <c r="C1" s="1" t="s">
        <v>7</v>
      </c>
      <c r="D1" s="1" t="s">
        <v>2</v>
      </c>
      <c r="E1" s="1" t="s">
        <v>6</v>
      </c>
      <c r="F1" s="1" t="s">
        <v>3</v>
      </c>
      <c r="G1" s="1" t="s">
        <v>4</v>
      </c>
      <c r="H1" s="1" t="s">
        <v>5</v>
      </c>
    </row>
    <row r="2" spans="1:8" x14ac:dyDescent="0.2">
      <c r="A2">
        <v>1</v>
      </c>
      <c r="B2" s="1">
        <v>100</v>
      </c>
    </row>
    <row r="3" spans="1:8" x14ac:dyDescent="0.2">
      <c r="A3">
        <v>2</v>
      </c>
      <c r="B3" s="1">
        <v>104</v>
      </c>
    </row>
    <row r="4" spans="1:8" x14ac:dyDescent="0.2">
      <c r="A4">
        <v>3</v>
      </c>
      <c r="B4" s="1">
        <v>112</v>
      </c>
      <c r="C4" s="1">
        <f>AVERAGE(B2:B4)</f>
        <v>105.33333333333333</v>
      </c>
    </row>
    <row r="5" spans="1:8" x14ac:dyDescent="0.2">
      <c r="A5">
        <v>4</v>
      </c>
      <c r="B5" s="1">
        <v>113</v>
      </c>
      <c r="C5" s="1">
        <f t="shared" ref="C5:D12" si="0">AVERAGE(B3:B5)</f>
        <v>109.66666666666667</v>
      </c>
    </row>
    <row r="6" spans="1:8" x14ac:dyDescent="0.2">
      <c r="A6">
        <v>5</v>
      </c>
      <c r="B6" s="1">
        <v>124</v>
      </c>
      <c r="C6" s="1">
        <f t="shared" si="0"/>
        <v>116.33333333333333</v>
      </c>
      <c r="D6" s="1">
        <f t="shared" si="0"/>
        <v>110.44444444444444</v>
      </c>
      <c r="E6" s="1">
        <f>C6-D6</f>
        <v>5.8888888888888857</v>
      </c>
      <c r="F6" s="1">
        <f>C6+(C6-D6)</f>
        <v>122.22222222222221</v>
      </c>
      <c r="G6" s="1">
        <f>2*(C6-D6)/(3-1)</f>
        <v>5.8888888888888857</v>
      </c>
    </row>
    <row r="7" spans="1:8" x14ac:dyDescent="0.2">
      <c r="A7">
        <v>6</v>
      </c>
      <c r="B7" s="1">
        <v>125</v>
      </c>
      <c r="C7" s="1">
        <f t="shared" si="0"/>
        <v>120.66666666666667</v>
      </c>
      <c r="D7" s="1">
        <f t="shared" si="0"/>
        <v>115.55555555555556</v>
      </c>
      <c r="E7" s="1">
        <f t="shared" ref="E7:E12" si="1">C7-D7</f>
        <v>5.1111111111111143</v>
      </c>
      <c r="F7" s="1">
        <f t="shared" ref="F7:F12" si="2">C7+(C7-D7)</f>
        <v>125.77777777777779</v>
      </c>
      <c r="G7" s="1">
        <f>2*(C7-D7)/(3-1)</f>
        <v>5.1111111111111143</v>
      </c>
      <c r="H7" s="1">
        <f>F6+G6*1</f>
        <v>128.11111111111109</v>
      </c>
    </row>
    <row r="8" spans="1:8" x14ac:dyDescent="0.2">
      <c r="A8">
        <v>7</v>
      </c>
      <c r="B8" s="1">
        <v>130</v>
      </c>
      <c r="C8" s="1">
        <f t="shared" si="0"/>
        <v>126.33333333333333</v>
      </c>
      <c r="D8" s="1">
        <f t="shared" si="0"/>
        <v>121.1111111111111</v>
      </c>
      <c r="E8" s="1">
        <f t="shared" si="1"/>
        <v>5.2222222222222285</v>
      </c>
      <c r="F8" s="1">
        <f t="shared" si="2"/>
        <v>131.55555555555554</v>
      </c>
      <c r="G8" s="1">
        <f>2*(C8-D8)/(3-1)</f>
        <v>5.2222222222222285</v>
      </c>
      <c r="H8" s="1">
        <f>F7+G7*1</f>
        <v>130.88888888888891</v>
      </c>
    </row>
    <row r="9" spans="1:8" x14ac:dyDescent="0.2">
      <c r="A9">
        <v>8</v>
      </c>
      <c r="B9" s="1">
        <v>134</v>
      </c>
      <c r="C9" s="1">
        <f t="shared" si="0"/>
        <v>129.66666666666666</v>
      </c>
      <c r="D9" s="1">
        <f t="shared" si="0"/>
        <v>125.55555555555554</v>
      </c>
      <c r="E9" s="1">
        <f t="shared" si="1"/>
        <v>4.1111111111111143</v>
      </c>
      <c r="F9" s="1">
        <f t="shared" si="2"/>
        <v>133.77777777777777</v>
      </c>
      <c r="G9" s="1">
        <f>2*(C9-D9)/(3-1)</f>
        <v>4.1111111111111143</v>
      </c>
      <c r="H9" s="1">
        <f>F8+G8*1</f>
        <v>136.77777777777777</v>
      </c>
    </row>
    <row r="10" spans="1:8" x14ac:dyDescent="0.2">
      <c r="A10">
        <v>9</v>
      </c>
      <c r="B10" s="1">
        <v>140</v>
      </c>
      <c r="C10" s="1">
        <f t="shared" si="0"/>
        <v>134.66666666666666</v>
      </c>
      <c r="D10" s="1">
        <f t="shared" si="0"/>
        <v>130.2222222222222</v>
      </c>
      <c r="E10" s="1">
        <f t="shared" si="1"/>
        <v>4.4444444444444571</v>
      </c>
      <c r="F10" s="1">
        <f t="shared" si="2"/>
        <v>139.11111111111111</v>
      </c>
      <c r="G10" s="1">
        <f>2*(C10-D10)/(3-1)</f>
        <v>4.4444444444444571</v>
      </c>
      <c r="H10" s="1">
        <f>F9+G9*1</f>
        <v>137.88888888888889</v>
      </c>
    </row>
    <row r="11" spans="1:8" x14ac:dyDescent="0.2">
      <c r="A11">
        <v>10</v>
      </c>
      <c r="B11" s="1">
        <v>144</v>
      </c>
      <c r="C11" s="1">
        <f t="shared" si="0"/>
        <v>139.33333333333334</v>
      </c>
      <c r="D11" s="1">
        <f t="shared" si="0"/>
        <v>134.55555555555554</v>
      </c>
      <c r="E11" s="1">
        <f t="shared" si="1"/>
        <v>4.7777777777777999</v>
      </c>
      <c r="F11" s="1">
        <f t="shared" si="2"/>
        <v>144.11111111111114</v>
      </c>
      <c r="G11" s="1">
        <f>2*(C11-D11)/(3-1)</f>
        <v>4.7777777777777999</v>
      </c>
      <c r="H11" s="1">
        <f>F10+G10*1</f>
        <v>143.55555555555557</v>
      </c>
    </row>
    <row r="12" spans="1:8" x14ac:dyDescent="0.2">
      <c r="A12">
        <v>11</v>
      </c>
      <c r="B12" s="1">
        <v>152</v>
      </c>
      <c r="C12" s="1">
        <f t="shared" si="0"/>
        <v>145.33333333333334</v>
      </c>
      <c r="D12" s="1">
        <f t="shared" si="0"/>
        <v>139.7777777777778</v>
      </c>
      <c r="E12" s="1">
        <f t="shared" si="1"/>
        <v>5.5555555555555429</v>
      </c>
      <c r="F12" s="1">
        <f t="shared" si="2"/>
        <v>150.88888888888889</v>
      </c>
      <c r="G12" s="1">
        <f>2*(C12-D12)/(3-1)</f>
        <v>5.5555555555555429</v>
      </c>
      <c r="H12" s="1">
        <f>F11+G11*1</f>
        <v>148.88888888888894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Junluo</dc:creator>
  <cp:lastModifiedBy>Dylan CHEN</cp:lastModifiedBy>
  <dcterms:created xsi:type="dcterms:W3CDTF">2025-03-09T06:23:10Z</dcterms:created>
  <dcterms:modified xsi:type="dcterms:W3CDTF">2025-03-09T07:00:15Z</dcterms:modified>
</cp:coreProperties>
</file>