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e96faeecd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" sheetId="1" r:id="R98ac525ea5674a9e"/>
    <x:sheet xmlns:r="http://schemas.openxmlformats.org/officeDocument/2006/relationships" name="Source" sheetId="2" r:id="R2119d82256c248a7"/>
    <x:sheet xmlns:r="http://schemas.openxmlformats.org/officeDocument/2006/relationships" name="Appendix" sheetId="3" r:id="R4989a629f79642e4"/>
    <x:sheet xmlns:r="http://schemas.openxmlformats.org/officeDocument/2006/relationships" name="Checks" sheetId="4" r:id="R70b299958949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0.000"/>
    <x:numFmt numFmtId="203" formatCode="0"/>
    <x:numFmt numFmtId="204" formatCode="0.0"/>
    <x:numFmt numFmtId="205" formatCode="0.000000"/>
  </x:numFmts>
  <x:fonts count="10">
    <x:font>
      <x:sz val="11"/>
      <x:name val="Carlito"/>
    </x:font>
    <x:font>
      <x:sz val="12"/>
      <x:color rgb="FF203843"/>
      <x:name val="Calibri"/>
    </x:font>
    <x:font>
      <x:b/>
      <x:sz val="18"/>
      <x:color rgb="FFFFFFFF"/>
      <x:name val="Calibri"/>
    </x:font>
    <x:font>
      <x:sz val="11"/>
      <x:color rgb="FF4C626C"/>
      <x:name val="Calibri"/>
    </x:font>
    <x:font>
      <x:b/>
      <x:sz val="12"/>
      <x:color rgb="FFFFFFFF"/>
      <x:name val="Calibri"/>
    </x:font>
    <x:font>
      <x:sz val="12"/>
      <x:color rgb="FF205FB1"/>
      <x:name val="Calibri"/>
    </x:font>
    <x:font>
      <x:b/>
      <x:sz val="12"/>
      <x:color rgb="FF203843"/>
      <x:name val="Calibri"/>
    </x:font>
    <x:font>
      <x:sz val="11"/>
      <x:color rgb="FF7B4A1F"/>
      <x:name val="Calibri"/>
    </x:font>
    <x:font>
      <x:sz val="11"/>
      <x:color rgb="FF51636C"/>
      <x:name val="Calibri"/>
    </x:font>
    <x:font>
      <x:sz val="10"/>
      <x:color rgb="FF51636C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46A69"/>
      </x:patternFill>
    </x:fill>
    <x:fill>
      <x:patternFill patternType="solid">
        <x:fgColor rgb="FFEAF3F2"/>
      </x:patternFill>
    </x:fill>
    <x:fill>
      <x:patternFill patternType="solid">
        <x:fgColor rgb="FFFFF6E6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92a38393b4f3e" /><Relationship Type="http://schemas.openxmlformats.org/officeDocument/2006/relationships/theme" Target="/xl/theme/theme1.xml" Id="Rd2436b6098a243e5" /><Relationship Type="http://schemas.openxmlformats.org/officeDocument/2006/relationships/sharedStrings" Target="/xl/sharedStrings.xml" Id="R1f13cfef5ee24e75" /><Relationship Type="http://schemas.openxmlformats.org/officeDocument/2006/relationships/worksheet" Target="/xl/worksheets/sheet1.xml" Id="R98ac525ea5674a9e" /><Relationship Type="http://schemas.openxmlformats.org/officeDocument/2006/relationships/worksheet" Target="/xl/worksheets/sheet2.xml" Id="R2119d82256c248a7" /><Relationship Type="http://schemas.openxmlformats.org/officeDocument/2006/relationships/worksheet" Target="/xl/worksheets/sheet3.xml" Id="R4989a629f79642e4" /><Relationship Type="http://schemas.openxmlformats.org/officeDocument/2006/relationships/worksheet" Target="/xl/worksheets/sheet4.xml" Id="R70b29995894949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fa1ade21f04e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Figure A1. Asset composition (% of total assets)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CloudSoft</c:v>
          </c:tx>
          <c:cat>
            <c:strRef>
              <c:f>'Appendix'!$A$16:$A$19</c:f>
              <c:strCache>
                <c:ptCount val="0"/>
              </c:strCache>
            </c:strRef>
          </c:cat>
          <c:val>
            <c:numRef>
              <c:f>'Appendix'!$B$16:$B$19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SteelForge</c:v>
          </c:tx>
          <c:cat>
            <c:strRef>
              <c:f>'Appendix'!$A$16:$A$19</c:f>
              <c:strCache>
                <c:ptCount val="0"/>
              </c:strCache>
            </c:strRef>
          </c:cat>
          <c:val>
            <c:numRef>
              <c:f>'Appendix'!$C$16:$C$19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fa1ade21f04ed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0e8b8bde6754a4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0.630001068115234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33.130001068115234" hidden="0" customWidth="1"/>
  </x:cols>
  <x:sheetData>
    <x:row r="1" ht="27" customHeight="1">
      <x:c r="A1" s="4" t="str">
        <x:v>Case 3 · Common-size balance sheets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3" customHeight="1">
      <x:c r="A3" s="6" t="str">
        <x:v>Required answer｜23 line items · percentages of each company’s total assets · one decimal place. 金额来自 Source；比例与合计由公式计算。</x:v>
      </x:c>
      <x:c r="B3" s="6"/>
      <x:c r="C3" s="6"/>
      <x:c r="D3" s="6"/>
      <x:c r="E3" s="6"/>
      <x:c r="F3" s="6"/>
    </x:row>
    <x:row r="4" ht="23" customHeight="1">
      <x:c r="A4" s="6"/>
      <x:c r="B4" s="6"/>
      <x:c r="C4" s="6"/>
      <x:c r="D4" s="6"/>
      <x:c r="E4" s="6"/>
      <x:c r="F4" s="6"/>
    </x:row>
    <x:row r="5" ht="25" customHeight="1">
      <x:c r="A5" s="2"/>
      <x:c r="B5" s="2"/>
      <x:c r="C5" s="2"/>
      <x:c r="D5" s="2"/>
      <x:c r="E5" s="2"/>
      <x:c r="F5" s="2"/>
    </x:row>
    <x:row r="6" ht="34" customHeight="1">
      <x:c r="A6" s="8" t="str">
        <x:v>Item</x:v>
      </x:c>
      <x:c r="B6" s="8" t="str">
        <x:v>CloudSoft
HK$m</x:v>
      </x:c>
      <x:c r="C6" s="8" t="str">
        <x:v>CloudSoft
% of assets</x:v>
      </x:c>
      <x:c r="D6" s="8" t="str">
        <x:v>SteelForge
HK$m</x:v>
      </x:c>
      <x:c r="E6" s="8" t="str">
        <x:v>SteelForge
% of assets</x:v>
      </x:c>
      <x:c r="F6" s="8" t="str">
        <x:v>中文名称</x:v>
      </x:c>
    </x:row>
    <x:row r="7" ht="35" customHeight="1">
      <x:c r="A7" s="11" t="str">
        <x:v>Cash and cash equivalents</x:v>
      </x:c>
      <x:c r="B7" s="12" t="n">
        <x:f>Source!B7</x:f>
        <x:v>1800</x:v>
      </x:c>
      <x:c r="C7" s="13" t="n">
        <x:f>B7/$B$17</x:f>
        <x:v>0.18</x:v>
      </x:c>
      <x:c r="D7" s="12" t="n">
        <x:f>Source!C7</x:f>
        <x:v>450</x:v>
      </x:c>
      <x:c r="E7" s="13" t="n">
        <x:f>D7/$D$17</x:f>
        <x:v>0.028125</x:v>
      </x:c>
      <x:c r="F7" s="11" t="str">
        <x:v>现金及现金等价物</x:v>
      </x:c>
    </x:row>
    <x:row r="8" ht="35" customHeight="1">
      <x:c r="A8" s="11" t="str">
        <x:v>Accounts receivable</x:v>
      </x:c>
      <x:c r="B8" s="12" t="n">
        <x:f>Source!B8</x:f>
        <x:v>1200</x:v>
      </x:c>
      <x:c r="C8" s="13" t="n">
        <x:f>B8/$B$17</x:f>
        <x:v>0.12</x:v>
      </x:c>
      <x:c r="D8" s="12" t="n">
        <x:f>Source!C8</x:f>
        <x:v>1350</x:v>
      </x:c>
      <x:c r="E8" s="13" t="n">
        <x:f>D8/$D$17</x:f>
        <x:v>0.084375</x:v>
      </x:c>
      <x:c r="F8" s="11" t="str">
        <x:v>应收账款</x:v>
      </x:c>
    </x:row>
    <x:row r="9" ht="35" customHeight="1">
      <x:c r="A9" s="11" t="str">
        <x:v>Inventories</x:v>
      </x:c>
      <x:c r="B9" s="12" t="n">
        <x:f>Source!B9</x:f>
        <x:v>150</x:v>
      </x:c>
      <x:c r="C9" s="13" t="n">
        <x:f>B9/$B$17</x:f>
        <x:v>0.015</x:v>
      </x:c>
      <x:c r="D9" s="12" t="n">
        <x:f>Source!C9</x:f>
        <x:v>2700</x:v>
      </x:c>
      <x:c r="E9" s="13" t="n">
        <x:f>D9/$D$17</x:f>
        <x:v>0.16875</x:v>
      </x:c>
      <x:c r="F9" s="11" t="str">
        <x:v>存货</x:v>
      </x:c>
    </x:row>
    <x:row r="10" ht="35" customHeight="1">
      <x:c r="A10" s="11" t="str">
        <x:v>Other current assets</x:v>
      </x:c>
      <x:c r="B10" s="12" t="n">
        <x:f>Source!B10</x:f>
        <x:v>350</x:v>
      </x:c>
      <x:c r="C10" s="13" t="n">
        <x:f>B10/$B$17</x:f>
        <x:v>0.035</x:v>
      </x:c>
      <x:c r="D10" s="12" t="n">
        <x:f>Source!C10</x:f>
        <x:v>300</x:v>
      </x:c>
      <x:c r="E10" s="13" t="n">
        <x:f>D10/$D$17</x:f>
        <x:v>0.01875</x:v>
      </x:c>
      <x:c r="F10" s="11" t="str">
        <x:v>其他流动资产</x:v>
      </x:c>
    </x:row>
    <x:row r="11" ht="29" customHeight="1">
      <x:c r="A11" s="17" t="str">
        <x:v>Total current assets</x:v>
      </x:c>
      <x:c r="B11" s="18" t="n">
        <x:f>SUM(B7:B10)</x:f>
        <x:v>3500</x:v>
      </x:c>
      <x:c r="C11" s="19" t="n">
        <x:f>B11/$B$17</x:f>
        <x:v>0.35</x:v>
      </x:c>
      <x:c r="D11" s="18" t="n">
        <x:f>SUM(D7:D10)</x:f>
        <x:v>4800</x:v>
      </x:c>
      <x:c r="E11" s="19" t="n">
        <x:f>D11/$D$17</x:f>
        <x:v>0.3</x:v>
      </x:c>
      <x:c r="F11" s="17" t="str">
        <x:v>流动资产合计</x:v>
      </x:c>
    </x:row>
    <x:row r="12" ht="35" customHeight="1">
      <x:c r="A12" s="11" t="str">
        <x:v>Property, plant and equipment (net)</x:v>
      </x:c>
      <x:c r="B12" s="12" t="n">
        <x:f>Source!B12</x:f>
        <x:v>800</x:v>
      </x:c>
      <x:c r="C12" s="13" t="n">
        <x:f>B12/$B$17</x:f>
        <x:v>0.08</x:v>
      </x:c>
      <x:c r="D12" s="12" t="n">
        <x:f>Source!C12</x:f>
        <x:v>9600</x:v>
      </x:c>
      <x:c r="E12" s="13" t="n">
        <x:f>D12/$D$17</x:f>
        <x:v>0.6</x:v>
      </x:c>
      <x:c r="F12" s="11" t="str">
        <x:v>物业、厂房及设备（净额）</x:v>
      </x:c>
    </x:row>
    <x:row r="13" ht="35" customHeight="1">
      <x:c r="A13" s="11" t="str">
        <x:v>Intangible assets (including goodwill)</x:v>
      </x:c>
      <x:c r="B13" s="12" t="n">
        <x:f>Source!B13</x:f>
        <x:v>4200</x:v>
      </x:c>
      <x:c r="C13" s="13" t="n">
        <x:f>B13/$B$17</x:f>
        <x:v>0.42</x:v>
      </x:c>
      <x:c r="D13" s="12" t="n">
        <x:f>Source!C13</x:f>
        <x:v>600</x:v>
      </x:c>
      <x:c r="E13" s="13" t="n">
        <x:f>D13/$D$17</x:f>
        <x:v>0.0375</x:v>
      </x:c>
      <x:c r="F13" s="11" t="str">
        <x:v>无形资产（包括商誉）</x:v>
      </x:c>
    </x:row>
    <x:row r="14" ht="35" customHeight="1">
      <x:c r="A14" s="11" t="str">
        <x:v>Long-term investments</x:v>
      </x:c>
      <x:c r="B14" s="12" t="n">
        <x:f>Source!B14</x:f>
        <x:v>1000</x:v>
      </x:c>
      <x:c r="C14" s="13" t="n">
        <x:f>B14/$B$17</x:f>
        <x:v>0.1</x:v>
      </x:c>
      <x:c r="D14" s="12" t="n">
        <x:f>Source!C14</x:f>
        <x:v>400</x:v>
      </x:c>
      <x:c r="E14" s="13" t="n">
        <x:f>D14/$D$17</x:f>
        <x:v>0.025</x:v>
      </x:c>
      <x:c r="F14" s="11" t="str">
        <x:v>长期投资</x:v>
      </x:c>
    </x:row>
    <x:row r="15" ht="35" customHeight="1">
      <x:c r="A15" s="11" t="str">
        <x:v>Other non-current assets</x:v>
      </x:c>
      <x:c r="B15" s="12" t="n">
        <x:f>Source!B15</x:f>
        <x:v>500</x:v>
      </x:c>
      <x:c r="C15" s="13" t="n">
        <x:f>B15/$B$17</x:f>
        <x:v>0.05</x:v>
      </x:c>
      <x:c r="D15" s="12" t="n">
        <x:f>Source!C15</x:f>
        <x:v>600</x:v>
      </x:c>
      <x:c r="E15" s="13" t="n">
        <x:f>D15/$D$17</x:f>
        <x:v>0.0375</x:v>
      </x:c>
      <x:c r="F15" s="11" t="str">
        <x:v>其他非流动资产</x:v>
      </x:c>
    </x:row>
    <x:row r="16" ht="29" customHeight="1">
      <x:c r="A16" s="17" t="str">
        <x:v>Total non-current assets</x:v>
      </x:c>
      <x:c r="B16" s="18" t="n">
        <x:f>SUM(B12:B15)</x:f>
        <x:v>6500</x:v>
      </x:c>
      <x:c r="C16" s="19" t="n">
        <x:f>B16/$B$17</x:f>
        <x:v>0.65</x:v>
      </x:c>
      <x:c r="D16" s="18" t="n">
        <x:f>SUM(D12:D15)</x:f>
        <x:v>11200</x:v>
      </x:c>
      <x:c r="E16" s="19" t="n">
        <x:f>D16/$D$17</x:f>
        <x:v>0.7</x:v>
      </x:c>
      <x:c r="F16" s="17" t="str">
        <x:v>非流动资产合计</x:v>
      </x:c>
    </x:row>
    <x:row r="17" ht="29" customHeight="1">
      <x:c r="A17" s="17" t="str">
        <x:v>Total assets</x:v>
      </x:c>
      <x:c r="B17" s="18" t="n">
        <x:f>B11+B16</x:f>
        <x:v>10000</x:v>
      </x:c>
      <x:c r="C17" s="19" t="n">
        <x:f>B17/$B$17</x:f>
        <x:v>1</x:v>
      </x:c>
      <x:c r="D17" s="18" t="n">
        <x:f>D11+D16</x:f>
        <x:v>16000</x:v>
      </x:c>
      <x:c r="E17" s="19" t="n">
        <x:f>D17/$D$17</x:f>
        <x:v>1</x:v>
      </x:c>
      <x:c r="F17" s="17" t="str">
        <x:v>资产总额</x:v>
      </x:c>
    </x:row>
    <x:row r="18" ht="35" customHeight="1">
      <x:c r="A18" s="11" t="str">
        <x:v>Accounts payable</x:v>
      </x:c>
      <x:c r="B18" s="12" t="n">
        <x:f>Source!B18</x:f>
        <x:v>600</x:v>
      </x:c>
      <x:c r="C18" s="13" t="n">
        <x:f>B18/$B$17</x:f>
        <x:v>0.06</x:v>
      </x:c>
      <x:c r="D18" s="12" t="n">
        <x:f>Source!C18</x:f>
        <x:v>1600</x:v>
      </x:c>
      <x:c r="E18" s="13" t="n">
        <x:f>D18/$D$17</x:f>
        <x:v>0.1</x:v>
      </x:c>
      <x:c r="F18" s="11" t="str">
        <x:v>应付账款</x:v>
      </x:c>
    </x:row>
    <x:row r="19" ht="35" customHeight="1">
      <x:c r="A19" s="11" t="str">
        <x:v>Short-term borrowings</x:v>
      </x:c>
      <x:c r="B19" s="12" t="n">
        <x:f>Source!B19</x:f>
        <x:v>200</x:v>
      </x:c>
      <x:c r="C19" s="13" t="n">
        <x:f>B19/$B$17</x:f>
        <x:v>0.02</x:v>
      </x:c>
      <x:c r="D19" s="12" t="n">
        <x:f>Source!C19</x:f>
        <x:v>1200</x:v>
      </x:c>
      <x:c r="E19" s="13" t="n">
        <x:f>D19/$D$17</x:f>
        <x:v>0.075</x:v>
      </x:c>
      <x:c r="F19" s="11" t="str">
        <x:v>短期借款</x:v>
      </x:c>
    </x:row>
    <x:row r="20" ht="35" customHeight="1">
      <x:c r="A20" s="11" t="str">
        <x:v>Other current liabilities</x:v>
      </x:c>
      <x:c r="B20" s="12" t="n">
        <x:f>Source!B20</x:f>
        <x:v>700</x:v>
      </x:c>
      <x:c r="C20" s="13" t="n">
        <x:f>B20/$B$17</x:f>
        <x:v>0.07</x:v>
      </x:c>
      <x:c r="D20" s="12" t="n">
        <x:f>Source!C20</x:f>
        <x:v>800</x:v>
      </x:c>
      <x:c r="E20" s="13" t="n">
        <x:f>D20/$D$17</x:f>
        <x:v>0.05</x:v>
      </x:c>
      <x:c r="F20" s="11" t="str">
        <x:v>其他流动负债</x:v>
      </x:c>
    </x:row>
    <x:row r="21" ht="29" customHeight="1">
      <x:c r="A21" s="17" t="str">
        <x:v>Total current liabilities</x:v>
      </x:c>
      <x:c r="B21" s="18" t="n">
        <x:f>SUM(B18:B20)</x:f>
        <x:v>1500</x:v>
      </x:c>
      <x:c r="C21" s="19" t="n">
        <x:f>B21/$B$17</x:f>
        <x:v>0.15</x:v>
      </x:c>
      <x:c r="D21" s="18" t="n">
        <x:f>SUM(D18:D20)</x:f>
        <x:v>3600</x:v>
      </x:c>
      <x:c r="E21" s="19" t="n">
        <x:f>D21/$D$17</x:f>
        <x:v>0.225</x:v>
      </x:c>
      <x:c r="F21" s="17" t="str">
        <x:v>流动负债合计</x:v>
      </x:c>
    </x:row>
    <x:row r="22" ht="35" customHeight="1">
      <x:c r="A22" s="11" t="str">
        <x:v>Long-term debt</x:v>
      </x:c>
      <x:c r="B22" s="12" t="n">
        <x:f>Source!B22</x:f>
        <x:v>1000</x:v>
      </x:c>
      <x:c r="C22" s="13" t="n">
        <x:f>B22/$B$17</x:f>
        <x:v>0.1</x:v>
      </x:c>
      <x:c r="D22" s="12" t="n">
        <x:f>Source!C22</x:f>
        <x:v>5600</x:v>
      </x:c>
      <x:c r="E22" s="13" t="n">
        <x:f>D22/$D$17</x:f>
        <x:v>0.35</x:v>
      </x:c>
      <x:c r="F22" s="11" t="str">
        <x:v>长期债务</x:v>
      </x:c>
    </x:row>
    <x:row r="23" ht="35" customHeight="1">
      <x:c r="A23" s="11" t="str">
        <x:v>Other non-current liabilities</x:v>
      </x:c>
      <x:c r="B23" s="12" t="n">
        <x:f>Source!B23</x:f>
        <x:v>500</x:v>
      </x:c>
      <x:c r="C23" s="13" t="n">
        <x:f>B23/$B$17</x:f>
        <x:v>0.05</x:v>
      </x:c>
      <x:c r="D23" s="12" t="n">
        <x:f>Source!C23</x:f>
        <x:v>800</x:v>
      </x:c>
      <x:c r="E23" s="13" t="n">
        <x:f>D23/$D$17</x:f>
        <x:v>0.05</x:v>
      </x:c>
      <x:c r="F23" s="11" t="str">
        <x:v>其他非流动负债</x:v>
      </x:c>
    </x:row>
    <x:row r="24" ht="29" customHeight="1">
      <x:c r="A24" s="17" t="str">
        <x:v>Total non-current liabilities</x:v>
      </x:c>
      <x:c r="B24" s="18" t="n">
        <x:f>SUM(B22:B23)</x:f>
        <x:v>1500</x:v>
      </x:c>
      <x:c r="C24" s="19" t="n">
        <x:f>B24/$B$17</x:f>
        <x:v>0.15</x:v>
      </x:c>
      <x:c r="D24" s="18" t="n">
        <x:f>SUM(D22:D23)</x:f>
        <x:v>6400</x:v>
      </x:c>
      <x:c r="E24" s="19" t="n">
        <x:f>D24/$D$17</x:f>
        <x:v>0.4</x:v>
      </x:c>
      <x:c r="F24" s="17" t="str">
        <x:v>非流动负债合计</x:v>
      </x:c>
    </x:row>
    <x:row r="25" ht="35" customHeight="1">
      <x:c r="A25" s="11" t="str">
        <x:v>Share capital and share premium</x:v>
      </x:c>
      <x:c r="B25" s="12" t="n">
        <x:f>Source!B25</x:f>
        <x:v>3500</x:v>
      </x:c>
      <x:c r="C25" s="13" t="n">
        <x:f>B25/$B$17</x:f>
        <x:v>0.35</x:v>
      </x:c>
      <x:c r="D25" s="12" t="n">
        <x:f>Source!C25</x:f>
        <x:v>2000</x:v>
      </x:c>
      <x:c r="E25" s="13" t="n">
        <x:f>D25/$D$17</x:f>
        <x:v>0.125</x:v>
      </x:c>
      <x:c r="F25" s="11" t="str">
        <x:v>股本及股本溢价</x:v>
      </x:c>
    </x:row>
    <x:row r="26" ht="35" customHeight="1">
      <x:c r="A26" s="11" t="str">
        <x:v>Retained earnings</x:v>
      </x:c>
      <x:c r="B26" s="12" t="n">
        <x:f>Source!B26</x:f>
        <x:v>3200</x:v>
      </x:c>
      <x:c r="C26" s="13" t="n">
        <x:f>B26/$B$17</x:f>
        <x:v>0.32</x:v>
      </x:c>
      <x:c r="D26" s="12" t="n">
        <x:f>Source!C26</x:f>
        <x:v>3600</x:v>
      </x:c>
      <x:c r="E26" s="13" t="n">
        <x:f>D26/$D$17</x:f>
        <x:v>0.225</x:v>
      </x:c>
      <x:c r="F26" s="11" t="str">
        <x:v>留存收益</x:v>
      </x:c>
    </x:row>
    <x:row r="27" ht="35" customHeight="1">
      <x:c r="A27" s="11" t="str">
        <x:v>Other equity (including NCI)</x:v>
      </x:c>
      <x:c r="B27" s="12" t="n">
        <x:f>Source!B27</x:f>
        <x:v>300</x:v>
      </x:c>
      <x:c r="C27" s="13" t="n">
        <x:f>B27/$B$17</x:f>
        <x:v>0.03</x:v>
      </x:c>
      <x:c r="D27" s="12" t="n">
        <x:f>Source!C27</x:f>
        <x:v>400</x:v>
      </x:c>
      <x:c r="E27" s="13" t="n">
        <x:f>D27/$D$17</x:f>
        <x:v>0.025</x:v>
      </x:c>
      <x:c r="F27" s="11" t="str">
        <x:v>其他权益（包括非控股权益）</x:v>
      </x:c>
    </x:row>
    <x:row r="28" ht="29" customHeight="1">
      <x:c r="A28" s="17" t="str">
        <x:v>Total equity</x:v>
      </x:c>
      <x:c r="B28" s="18" t="n">
        <x:f>SUM(B25:B27)</x:f>
        <x:v>7000</x:v>
      </x:c>
      <x:c r="C28" s="19" t="n">
        <x:f>B28/$B$17</x:f>
        <x:v>0.7</x:v>
      </x:c>
      <x:c r="D28" s="18" t="n">
        <x:f>SUM(D25:D27)</x:f>
        <x:v>6000</x:v>
      </x:c>
      <x:c r="E28" s="19" t="n">
        <x:f>D28/$D$17</x:f>
        <x:v>0.375</x:v>
      </x:c>
      <x:c r="F28" s="17" t="str">
        <x:v>权益合计</x:v>
      </x:c>
    </x:row>
    <x:row r="29" ht="29" customHeight="1">
      <x:c r="A29" s="17" t="str">
        <x:v>Total liabilities and equity</x:v>
      </x:c>
      <x:c r="B29" s="18" t="n">
        <x:f>B21+B24+B28</x:f>
        <x:v>10000</x:v>
      </x:c>
      <x:c r="C29" s="19" t="n">
        <x:f>B29/$B$17</x:f>
        <x:v>1</x:v>
      </x:c>
      <x:c r="D29" s="18" t="n">
        <x:f>D21+D24+D28</x:f>
        <x:v>16000</x:v>
      </x:c>
      <x:c r="E29" s="19" t="n">
        <x:f>D29/$D$17</x:f>
        <x:v>1</x:v>
      </x:c>
      <x:c r="F29" s="17" t="str">
        <x:v>负债及权益总额</x:v>
      </x:c>
    </x:row>
    <x:row r="30" ht="25" customHeight="1">
      <x:c r="A30" s="2"/>
      <x:c r="B30" s="2"/>
      <x:c r="C30" s="2"/>
      <x:c r="D30" s="2"/>
      <x:c r="E30" s="2"/>
      <x:c r="F30" s="2"/>
    </x:row>
    <x:row r="31" ht="28" customHeight="1">
      <x:c r="A31" s="22" t="str">
        <x:v>Rounding note: individual rounded asset percentages for SteelForge sum to 100.1%. Every total is calculated from original amounts and displayed independently; do not change a line to force 100.0%.</x:v>
      </x:c>
      <x:c r="B31" s="22"/>
      <x:c r="C31" s="22"/>
      <x:c r="D31" s="22"/>
      <x:c r="E31" s="22"/>
      <x:c r="F31" s="22"/>
    </x:row>
    <x:row r="32" ht="28" customHeight="1">
      <x:c r="A32" s="22"/>
      <x:c r="B32" s="22"/>
      <x:c r="C32" s="22"/>
      <x:c r="D32" s="22"/>
      <x:c r="E32" s="22"/>
      <x:c r="F32" s="22"/>
    </x:row>
    <x:row r="33" ht="25" customHeight="1">
      <x:c r="A33" s="11" t="str">
        <x:v>单位：全部比例除以同一公司的总资产。CloudSoft 分母 10,000；SteelForge 分母 16,000。权益项目同样除以总资产，不除以权益合计。</x:v>
      </x:c>
      <x:c r="B33" s="11"/>
      <x:c r="C33" s="11"/>
      <x:c r="D33" s="11"/>
      <x:c r="E33" s="11"/>
      <x:c r="F33" s="11"/>
    </x:row>
    <x:row r="34" ht="25" customHeight="1">
      <x:c r="A34" s="11"/>
      <x:c r="B34" s="11"/>
      <x:c r="C34" s="11"/>
      <x:c r="D34" s="11"/>
      <x:c r="E34" s="11"/>
      <x:c r="F34" s="11"/>
    </x:row>
    <x:row r="35" ht="25" customHeight="1">
      <x:c r="A35" s="2"/>
      <x:c r="B35" s="2"/>
      <x:c r="C35" s="2"/>
      <x:c r="D35" s="2"/>
      <x:c r="E35" s="2"/>
      <x:c r="F35" s="2"/>
    </x:row>
  </x:sheetData>
  <x:mergeCells>
    <x:mergeCell ref="A1:F2"/>
    <x:mergeCell ref="A3:F4"/>
    <x:mergeCell ref="A31:F32"/>
    <x:mergeCell ref="A33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1.880001068115234" hidden="0" customWidth="1"/>
    <x:col min="2" max="2" width="16.8799991607666" hidden="0" customWidth="1"/>
    <x:col min="3" max="3" width="16.8799991607666" hidden="0" customWidth="1"/>
    <x:col min="4" max="4" width="8.130000114440918" hidden="0" customWidth="1"/>
    <x:col min="5" max="5" width="33.75" hidden="0" customWidth="1"/>
    <x:col min="6" max="6" width="6.880000114440918" hidden="0" customWidth="1"/>
  </x:cols>
  <x:sheetData>
    <x:row r="1" ht="27" customHeight="1">
      <x:c r="A1" s="4" t="str">
        <x:v>Case 3 · 原始金额与来源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3" customHeight="1">
      <x:c r="A3" s="6" t="str">
        <x:v>来源：课堂照片两页；Canvas Case 3 with solution.docx 在线预览。报表日 31 Dec 2025；金额单位 HK$ million。蓝色数字为题目给定值。</x:v>
      </x:c>
      <x:c r="B3" s="6"/>
      <x:c r="C3" s="6"/>
      <x:c r="D3" s="6"/>
      <x:c r="E3" s="6"/>
      <x:c r="F3" s="6"/>
    </x:row>
    <x:row r="4" ht="23" customHeight="1">
      <x:c r="A4" s="6"/>
      <x:c r="B4" s="6"/>
      <x:c r="C4" s="6"/>
      <x:c r="D4" s="6"/>
      <x:c r="E4" s="6"/>
      <x:c r="F4" s="6"/>
    </x:row>
    <x:row r="5" ht="25" customHeight="1">
      <x:c r="A5" s="2"/>
      <x:c r="B5" s="2"/>
      <x:c r="C5" s="2"/>
      <x:c r="D5" s="2"/>
      <x:c r="E5" s="2"/>
      <x:c r="F5" s="2"/>
    </x:row>
    <x:row r="6" ht="34" customHeight="1">
      <x:c r="A6" s="8" t="str">
        <x:v>Original line item</x:v>
      </x:c>
      <x:c r="B6" s="8" t="str">
        <x:v>CloudSoft</x:v>
      </x:c>
      <x:c r="C6" s="8" t="str">
        <x:v>SteelForge</x:v>
      </x:c>
      <x:c r="D6" s="8" t="str">
        <x:v>照片页</x:v>
      </x:c>
      <x:c r="E6" s="8" t="str">
        <x:v>中文名称</x:v>
      </x:c>
      <x:c r="F6" s="2"/>
    </x:row>
    <x:row r="7" ht="34" customHeight="1">
      <x:c r="A7" s="11" t="str">
        <x:v>Cash and cash equivalents</x:v>
      </x:c>
      <x:c r="B7" s="10" t="n">
        <x:v>1800</x:v>
      </x:c>
      <x:c r="C7" s="10" t="n">
        <x:v>450</x:v>
      </x:c>
      <x:c r="D7" s="2" t="n">
        <x:v>1</x:v>
      </x:c>
      <x:c r="E7" s="11" t="str">
        <x:v>现金及现金等价物</x:v>
      </x:c>
      <x:c r="F7" s="2"/>
    </x:row>
    <x:row r="8" ht="34" customHeight="1">
      <x:c r="A8" s="11" t="str">
        <x:v>Accounts receivable</x:v>
      </x:c>
      <x:c r="B8" s="10" t="n">
        <x:v>1200</x:v>
      </x:c>
      <x:c r="C8" s="10" t="n">
        <x:v>1350</x:v>
      </x:c>
      <x:c r="D8" s="2" t="n">
        <x:v>1</x:v>
      </x:c>
      <x:c r="E8" s="11" t="str">
        <x:v>应收账款</x:v>
      </x:c>
      <x:c r="F8" s="2"/>
    </x:row>
    <x:row r="9" ht="34" customHeight="1">
      <x:c r="A9" s="11" t="str">
        <x:v>Inventories</x:v>
      </x:c>
      <x:c r="B9" s="10" t="n">
        <x:v>150</x:v>
      </x:c>
      <x:c r="C9" s="10" t="n">
        <x:v>2700</x:v>
      </x:c>
      <x:c r="D9" s="2" t="n">
        <x:v>1</x:v>
      </x:c>
      <x:c r="E9" s="11" t="str">
        <x:v>存货</x:v>
      </x:c>
      <x:c r="F9" s="2"/>
    </x:row>
    <x:row r="10" ht="34" customHeight="1">
      <x:c r="A10" s="11" t="str">
        <x:v>Other current assets</x:v>
      </x:c>
      <x:c r="B10" s="10" t="n">
        <x:v>350</x:v>
      </x:c>
      <x:c r="C10" s="10" t="n">
        <x:v>300</x:v>
      </x:c>
      <x:c r="D10" s="2" t="n">
        <x:v>1</x:v>
      </x:c>
      <x:c r="E10" s="11" t="str">
        <x:v>其他流动资产</x:v>
      </x:c>
      <x:c r="F10" s="2"/>
    </x:row>
    <x:row r="11" ht="34" customHeight="1">
      <x:c r="A11" s="11" t="str">
        <x:v>Total current assets</x:v>
      </x:c>
      <x:c r="B11" s="10" t="n">
        <x:v>3500</x:v>
      </x:c>
      <x:c r="C11" s="10" t="n">
        <x:v>4800</x:v>
      </x:c>
      <x:c r="D11" s="2" t="n">
        <x:v>1</x:v>
      </x:c>
      <x:c r="E11" s="11" t="str">
        <x:v>流动资产合计</x:v>
      </x:c>
      <x:c r="F11" s="2"/>
    </x:row>
    <x:row r="12" ht="34" customHeight="1">
      <x:c r="A12" s="11" t="str">
        <x:v>Property, plant and equipment (net)</x:v>
      </x:c>
      <x:c r="B12" s="10" t="n">
        <x:v>800</x:v>
      </x:c>
      <x:c r="C12" s="10" t="n">
        <x:v>9600</x:v>
      </x:c>
      <x:c r="D12" s="2" t="n">
        <x:v>1</x:v>
      </x:c>
      <x:c r="E12" s="11" t="str">
        <x:v>物业、厂房及设备（净额）</x:v>
      </x:c>
      <x:c r="F12" s="2"/>
    </x:row>
    <x:row r="13" ht="34" customHeight="1">
      <x:c r="A13" s="11" t="str">
        <x:v>Intangible assets (including goodwill)</x:v>
      </x:c>
      <x:c r="B13" s="10" t="n">
        <x:v>4200</x:v>
      </x:c>
      <x:c r="C13" s="10" t="n">
        <x:v>600</x:v>
      </x:c>
      <x:c r="D13" s="2" t="n">
        <x:v>1</x:v>
      </x:c>
      <x:c r="E13" s="11" t="str">
        <x:v>无形资产（包括商誉）</x:v>
      </x:c>
      <x:c r="F13" s="2"/>
    </x:row>
    <x:row r="14" ht="34" customHeight="1">
      <x:c r="A14" s="11" t="str">
        <x:v>Long-term investments</x:v>
      </x:c>
      <x:c r="B14" s="10" t="n">
        <x:v>1000</x:v>
      </x:c>
      <x:c r="C14" s="10" t="n">
        <x:v>400</x:v>
      </x:c>
      <x:c r="D14" s="2" t="n">
        <x:v>1</x:v>
      </x:c>
      <x:c r="E14" s="11" t="str">
        <x:v>长期投资</x:v>
      </x:c>
      <x:c r="F14" s="2"/>
    </x:row>
    <x:row r="15" ht="34" customHeight="1">
      <x:c r="A15" s="11" t="str">
        <x:v>Other non-current assets</x:v>
      </x:c>
      <x:c r="B15" s="10" t="n">
        <x:v>500</x:v>
      </x:c>
      <x:c r="C15" s="10" t="n">
        <x:v>600</x:v>
      </x:c>
      <x:c r="D15" s="2" t="n">
        <x:v>1</x:v>
      </x:c>
      <x:c r="E15" s="11" t="str">
        <x:v>其他非流动资产</x:v>
      </x:c>
      <x:c r="F15" s="2"/>
    </x:row>
    <x:row r="16" ht="34" customHeight="1">
      <x:c r="A16" s="11" t="str">
        <x:v>Total non-current assets</x:v>
      </x:c>
      <x:c r="B16" s="10" t="n">
        <x:v>6500</x:v>
      </x:c>
      <x:c r="C16" s="10" t="n">
        <x:v>11200</x:v>
      </x:c>
      <x:c r="D16" s="2" t="n">
        <x:v>1</x:v>
      </x:c>
      <x:c r="E16" s="11" t="str">
        <x:v>非流动资产合计</x:v>
      </x:c>
      <x:c r="F16" s="2"/>
    </x:row>
    <x:row r="17" ht="34" customHeight="1">
      <x:c r="A17" s="11" t="str">
        <x:v>Total assets</x:v>
      </x:c>
      <x:c r="B17" s="10" t="n">
        <x:v>10000</x:v>
      </x:c>
      <x:c r="C17" s="10" t="n">
        <x:v>16000</x:v>
      </x:c>
      <x:c r="D17" s="2" t="n">
        <x:v>2</x:v>
      </x:c>
      <x:c r="E17" s="11" t="str">
        <x:v>资产总额</x:v>
      </x:c>
      <x:c r="F17" s="2"/>
    </x:row>
    <x:row r="18" ht="34" customHeight="1">
      <x:c r="A18" s="11" t="str">
        <x:v>Accounts payable</x:v>
      </x:c>
      <x:c r="B18" s="10" t="n">
        <x:v>600</x:v>
      </x:c>
      <x:c r="C18" s="10" t="n">
        <x:v>1600</x:v>
      </x:c>
      <x:c r="D18" s="2" t="n">
        <x:v>2</x:v>
      </x:c>
      <x:c r="E18" s="11" t="str">
        <x:v>应付账款</x:v>
      </x:c>
      <x:c r="F18" s="2"/>
    </x:row>
    <x:row r="19" ht="34" customHeight="1">
      <x:c r="A19" s="11" t="str">
        <x:v>Short-term borrowings</x:v>
      </x:c>
      <x:c r="B19" s="10" t="n">
        <x:v>200</x:v>
      </x:c>
      <x:c r="C19" s="10" t="n">
        <x:v>1200</x:v>
      </x:c>
      <x:c r="D19" s="2" t="n">
        <x:v>2</x:v>
      </x:c>
      <x:c r="E19" s="11" t="str">
        <x:v>短期借款</x:v>
      </x:c>
      <x:c r="F19" s="2"/>
    </x:row>
    <x:row r="20" ht="34" customHeight="1">
      <x:c r="A20" s="11" t="str">
        <x:v>Other current liabilities</x:v>
      </x:c>
      <x:c r="B20" s="10" t="n">
        <x:v>700</x:v>
      </x:c>
      <x:c r="C20" s="10" t="n">
        <x:v>800</x:v>
      </x:c>
      <x:c r="D20" s="2" t="n">
        <x:v>2</x:v>
      </x:c>
      <x:c r="E20" s="11" t="str">
        <x:v>其他流动负债</x:v>
      </x:c>
      <x:c r="F20" s="2"/>
    </x:row>
    <x:row r="21" ht="34" customHeight="1">
      <x:c r="A21" s="11" t="str">
        <x:v>Total current liabilities</x:v>
      </x:c>
      <x:c r="B21" s="10" t="n">
        <x:v>1500</x:v>
      </x:c>
      <x:c r="C21" s="10" t="n">
        <x:v>3600</x:v>
      </x:c>
      <x:c r="D21" s="2" t="n">
        <x:v>2</x:v>
      </x:c>
      <x:c r="E21" s="11" t="str">
        <x:v>流动负债合计</x:v>
      </x:c>
      <x:c r="F21" s="2"/>
    </x:row>
    <x:row r="22" ht="34" customHeight="1">
      <x:c r="A22" s="11" t="str">
        <x:v>Long-term debt</x:v>
      </x:c>
      <x:c r="B22" s="10" t="n">
        <x:v>1000</x:v>
      </x:c>
      <x:c r="C22" s="10" t="n">
        <x:v>5600</x:v>
      </x:c>
      <x:c r="D22" s="2" t="n">
        <x:v>2</x:v>
      </x:c>
      <x:c r="E22" s="11" t="str">
        <x:v>长期债务</x:v>
      </x:c>
      <x:c r="F22" s="2"/>
    </x:row>
    <x:row r="23" ht="34" customHeight="1">
      <x:c r="A23" s="11" t="str">
        <x:v>Other non-current liabilities</x:v>
      </x:c>
      <x:c r="B23" s="10" t="n">
        <x:v>500</x:v>
      </x:c>
      <x:c r="C23" s="10" t="n">
        <x:v>800</x:v>
      </x:c>
      <x:c r="D23" s="2" t="n">
        <x:v>2</x:v>
      </x:c>
      <x:c r="E23" s="11" t="str">
        <x:v>其他非流动负债</x:v>
      </x:c>
      <x:c r="F23" s="2"/>
    </x:row>
    <x:row r="24" ht="34" customHeight="1">
      <x:c r="A24" s="11" t="str">
        <x:v>Total non-current liabilities</x:v>
      </x:c>
      <x:c r="B24" s="10" t="n">
        <x:v>1500</x:v>
      </x:c>
      <x:c r="C24" s="10" t="n">
        <x:v>6400</x:v>
      </x:c>
      <x:c r="D24" s="2" t="n">
        <x:v>2</x:v>
      </x:c>
      <x:c r="E24" s="11" t="str">
        <x:v>非流动负债合计</x:v>
      </x:c>
      <x:c r="F24" s="2"/>
    </x:row>
    <x:row r="25" ht="34" customHeight="1">
      <x:c r="A25" s="11" t="str">
        <x:v>Share capital and share premium</x:v>
      </x:c>
      <x:c r="B25" s="10" t="n">
        <x:v>3500</x:v>
      </x:c>
      <x:c r="C25" s="10" t="n">
        <x:v>2000</x:v>
      </x:c>
      <x:c r="D25" s="2" t="n">
        <x:v>2</x:v>
      </x:c>
      <x:c r="E25" s="11" t="str">
        <x:v>股本及股本溢价</x:v>
      </x:c>
      <x:c r="F25" s="2"/>
    </x:row>
    <x:row r="26" ht="34" customHeight="1">
      <x:c r="A26" s="11" t="str">
        <x:v>Retained earnings</x:v>
      </x:c>
      <x:c r="B26" s="10" t="n">
        <x:v>3200</x:v>
      </x:c>
      <x:c r="C26" s="10" t="n">
        <x:v>3600</x:v>
      </x:c>
      <x:c r="D26" s="2" t="n">
        <x:v>2</x:v>
      </x:c>
      <x:c r="E26" s="11" t="str">
        <x:v>留存收益</x:v>
      </x:c>
      <x:c r="F26" s="2"/>
    </x:row>
    <x:row r="27" ht="34" customHeight="1">
      <x:c r="A27" s="11" t="str">
        <x:v>Other equity (including NCI)</x:v>
      </x:c>
      <x:c r="B27" s="10" t="n">
        <x:v>300</x:v>
      </x:c>
      <x:c r="C27" s="10" t="n">
        <x:v>400</x:v>
      </x:c>
      <x:c r="D27" s="2" t="n">
        <x:v>2</x:v>
      </x:c>
      <x:c r="E27" s="11" t="str">
        <x:v>其他权益（包括非控股权益）</x:v>
      </x:c>
      <x:c r="F27" s="2"/>
    </x:row>
    <x:row r="28" ht="34" customHeight="1">
      <x:c r="A28" s="11" t="str">
        <x:v>Total equity</x:v>
      </x:c>
      <x:c r="B28" s="10" t="n">
        <x:v>7000</x:v>
      </x:c>
      <x:c r="C28" s="10" t="n">
        <x:v>6000</x:v>
      </x:c>
      <x:c r="D28" s="2" t="n">
        <x:v>2</x:v>
      </x:c>
      <x:c r="E28" s="11" t="str">
        <x:v>权益合计</x:v>
      </x:c>
      <x:c r="F28" s="2"/>
    </x:row>
    <x:row r="29" ht="34" customHeight="1">
      <x:c r="A29" s="11" t="str">
        <x:v>Total liabilities and equity</x:v>
      </x:c>
      <x:c r="B29" s="10" t="n">
        <x:v>10000</x:v>
      </x:c>
      <x:c r="C29" s="10" t="n">
        <x:v>16000</x:v>
      </x:c>
      <x:c r="D29" s="2" t="n">
        <x:v>2</x:v>
      </x:c>
      <x:c r="E29" s="11" t="str">
        <x:v>负债及权益总额</x:v>
      </x:c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11" t="str">
        <x:v>Canvas：https://canvas.cityu.edu.hk/courses/70229/files?preview=16135309；官方解答页 3–4。照片 p01 为资产，p02 为负债／权益及题目。</x:v>
      </x:c>
      <x:c r="B31" s="11"/>
      <x:c r="C31" s="11"/>
      <x:c r="D31" s="11"/>
      <x:c r="E31" s="11"/>
      <x:c r="F31" s="11"/>
    </x:row>
    <x:row r="32" ht="25" customHeight="1">
      <x:c r="A32" s="11"/>
      <x:c r="B32" s="11"/>
      <x:c r="C32" s="11"/>
      <x:c r="D32" s="11"/>
      <x:c r="E32" s="11"/>
      <x:c r="F32" s="11"/>
    </x:row>
    <x:row r="33" ht="25" customHeight="1">
      <x:c r="A33" s="11" t="str">
        <x:v>题目要求每行占总资产比例，保留一位小数。本表保留老师报告的小计／合计；Checks 对照明细重算，避免凭“平衡”忽略抄录错误。</x:v>
      </x:c>
      <x:c r="B33" s="11"/>
      <x:c r="C33" s="11"/>
      <x:c r="D33" s="11"/>
      <x:c r="E33" s="11"/>
      <x:c r="F33" s="11"/>
    </x:row>
    <x:row r="34" ht="25" customHeight="1">
      <x:c r="A34" s="11"/>
      <x:c r="B34" s="11"/>
      <x:c r="C34" s="11"/>
      <x:c r="D34" s="11"/>
      <x:c r="E34" s="11"/>
      <x:c r="F34" s="11"/>
    </x:row>
    <x:row r="35" ht="25" customHeight="1">
      <x:c r="A35" s="2"/>
      <x:c r="B35" s="2"/>
      <x:c r="C35" s="2"/>
      <x:c r="D35" s="2"/>
      <x:c r="E35" s="2"/>
      <x:c r="F35" s="2"/>
    </x:row>
  </x:sheetData>
  <x:mergeCells>
    <x:mergeCell ref="A1:F2"/>
    <x:mergeCell ref="A3:F4"/>
    <x:mergeCell ref="A31:F32"/>
    <x:mergeCell ref="A33:F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.6299991607666" hidden="0" customWidth="1"/>
    <x:col min="2" max="2" width="15.630000114440918" hidden="0" customWidth="1"/>
    <x:col min="3" max="3" width="15.630000114440918" hidden="0" customWidth="1"/>
    <x:col min="4" max="4" width="43.75" hidden="0" customWidth="1"/>
    <x:col min="5" max="5" width="10" hidden="0" customWidth="1"/>
    <x:col min="6" max="6" width="10" hidden="0" customWidth="1"/>
  </x:cols>
  <x:sheetData>
    <x:row r="1" ht="27" customHeight="1">
      <x:c r="A1" s="4" t="str">
        <x:v>Appendix A · 理解与拓展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3" customHeight="1">
      <x:c r="A3" s="6" t="str">
        <x:v>以下是补充检验，不替代必答表。比率用未舍入金额；财务结构不等于盈利能力或投资价值。情景明确为假设。</x:v>
      </x:c>
      <x:c r="B3" s="6"/>
      <x:c r="C3" s="6"/>
      <x:c r="D3" s="6"/>
      <x:c r="E3" s="6"/>
      <x:c r="F3" s="6"/>
    </x:row>
    <x:row r="4" ht="23" customHeight="1">
      <x:c r="A4" s="6"/>
      <x:c r="B4" s="6"/>
      <x:c r="C4" s="6"/>
      <x:c r="D4" s="6"/>
      <x:c r="E4" s="6"/>
      <x:c r="F4" s="6"/>
    </x:row>
    <x:row r="5" ht="25" customHeight="1">
      <x:c r="A5" s="2"/>
      <x:c r="B5" s="2"/>
      <x:c r="C5" s="2"/>
      <x:c r="D5" s="2"/>
      <x:c r="E5" s="2"/>
      <x:c r="F5" s="2"/>
    </x:row>
    <x:row r="6" ht="34" customHeight="1">
      <x:c r="A6" s="8" t="str">
        <x:v>Table A1 · Metric</x:v>
      </x:c>
      <x:c r="B6" s="8" t="str">
        <x:v>CloudSoft</x:v>
      </x:c>
      <x:c r="C6" s="8" t="str">
        <x:v>SteelForge</x:v>
      </x:c>
      <x:c r="D6" s="8" t="str">
        <x:v>定义／限制</x:v>
      </x:c>
      <x:c r="E6" s="2"/>
      <x:c r="F6" s="2"/>
    </x:row>
    <x:row r="7" ht="37" customHeight="1">
      <x:c r="A7" s="2" t="str">
        <x:v>流动比率</x:v>
      </x:c>
      <x:c r="B7" s="23" t="n">
        <x:f>Source!B11/Source!B21</x:f>
        <x:v>2.3333333333333335</x:v>
      </x:c>
      <x:c r="C7" s="23" t="n">
        <x:f>Source!C11/Source!C21</x:f>
        <x:v>1.3333333333333333</x:v>
      </x:c>
      <x:c r="D7" s="11" t="str">
        <x:v>流动资产／流动负债</x:v>
      </x:c>
      <x:c r="E7" s="2"/>
      <x:c r="F7" s="2"/>
    </x:row>
    <x:row r="8" ht="37" customHeight="1">
      <x:c r="A8" s="2" t="str">
        <x:v>严格口径速动比率</x:v>
      </x:c>
      <x:c r="B8" s="23" t="n">
        <x:f>(Source!B7+Source!B8)/Source!B21</x:f>
        <x:v>2</x:v>
      </x:c>
      <x:c r="C8" s="23" t="n">
        <x:f>(Source!C7+Source!C8)/Source!C21</x:f>
        <x:v>0.5</x:v>
      </x:c>
      <x:c r="D8" s="11" t="str">
        <x:v>仅现金及应收／流动负债；不计未知的其他流动资产</x:v>
      </x:c>
      <x:c r="E8" s="2"/>
      <x:c r="F8" s="2"/>
    </x:row>
    <x:row r="9" ht="37" customHeight="1">
      <x:c r="A9" s="2" t="str">
        <x:v>现金比率</x:v>
      </x:c>
      <x:c r="B9" s="23" t="n">
        <x:f>Source!B7/Source!B21</x:f>
        <x:v>1.2</x:v>
      </x:c>
      <x:c r="C9" s="23" t="n">
        <x:f>Source!C7/Source!C21</x:f>
        <x:v>0.125</x:v>
      </x:c>
      <x:c r="D9" s="11" t="str">
        <x:v>现金及现金等价物／流动负债</x:v>
      </x:c>
      <x:c r="E9" s="2"/>
      <x:c r="F9" s="2"/>
    </x:row>
    <x:row r="10" ht="37" customHeight="1">
      <x:c r="A10" s="2" t="str">
        <x:v>净营运资本</x:v>
      </x:c>
      <x:c r="B10" s="12" t="n">
        <x:f>Source!B11-Source!B21</x:f>
        <x:v>2000</x:v>
      </x:c>
      <x:c r="C10" s="12" t="n">
        <x:f>Source!C11-Source!C21</x:f>
        <x:v>1200</x:v>
      </x:c>
      <x:c r="D10" s="11" t="str">
        <x:v>金额：HK$ million，非百分比</x:v>
      </x:c>
      <x:c r="E10" s="2"/>
      <x:c r="F10" s="2"/>
    </x:row>
    <x:row r="11" ht="37" customHeight="1">
      <x:c r="A11" s="2" t="str">
        <x:v>总负债／总资产</x:v>
      </x:c>
      <x:c r="B11" s="13" t="n">
        <x:f>(Source!B21+Source!B24)/Source!B17</x:f>
        <x:v>0.3</x:v>
      </x:c>
      <x:c r="C11" s="13" t="n">
        <x:f>(Source!C21+Source!C24)/Source!C17</x:f>
        <x:v>0.625</x:v>
      </x:c>
      <x:c r="D11" s="11" t="str">
        <x:v>含应付等所有负债，不只计息借款</x:v>
      </x:c>
      <x:c r="E11" s="2"/>
      <x:c r="F11" s="2"/>
    </x:row>
    <x:row r="12" ht="37" customHeight="1">
      <x:c r="A12" s="2" t="str">
        <x:v>明确列示借款／总资产</x:v>
      </x:c>
      <x:c r="B12" s="13" t="n">
        <x:f>(Source!B19+Source!B22)/Source!B17</x:f>
        <x:v>0.12</x:v>
      </x:c>
      <x:c r="C12" s="13" t="n">
        <x:f>(Source!C19+Source!C22)/Source!C17</x:f>
        <x:v>0.425</x:v>
      </x:c>
      <x:c r="D12" s="11" t="str">
        <x:v>只加短期借款及长期 debt；其他负债成分未知</x:v>
      </x:c>
      <x:c r="E12" s="2"/>
      <x:c r="F12" s="2"/>
    </x:row>
    <x:row r="13" ht="37" customHeight="1">
      <x:c r="A13" s="2" t="str">
        <x:v>总负债／权益</x:v>
      </x:c>
      <x:c r="B13" s="23" t="n">
        <x:f>(Source!B21+Source!B24)/Source!B28</x:f>
        <x:v>0.42857142857142855</x:v>
      </x:c>
      <x:c r="C13" s="23" t="n">
        <x:f>(Source!C21+Source!C24)/Source!C28</x:f>
        <x:v>1.6666666666666667</x:v>
      </x:c>
      <x:c r="D13" s="11" t="str">
        <x:v>不能与上一项的 debt 定义混用</x:v>
      </x:c>
      <x:c r="E13" s="2"/>
      <x:c r="F13" s="2"/>
    </x:row>
    <x:row r="14" ht="25" customHeight="1">
      <x:c r="A14" s="2"/>
      <x:c r="B14" s="2"/>
      <x:c r="C14" s="2"/>
      <x:c r="D14" s="2"/>
      <x:c r="E14" s="2"/>
      <x:c r="F14" s="2"/>
    </x:row>
    <x:row r="15" ht="34" customHeight="1">
      <x:c r="A15" s="8" t="str">
        <x:v>Table A2 · Asset groups</x:v>
      </x:c>
      <x:c r="B15" s="8" t="str">
        <x:v>CloudSoft</x:v>
      </x:c>
      <x:c r="C15" s="8" t="str">
        <x:v>SteelForge</x:v>
      </x:c>
      <x:c r="D15" s="2"/>
      <x:c r="E15" s="2"/>
      <x:c r="F15" s="2"/>
    </x:row>
    <x:row r="16" ht="25" customHeight="1">
      <x:c r="A16" s="2" t="str">
        <x:v>Current assets</x:v>
      </x:c>
      <x:c r="B16" s="13" t="n">
        <x:f>Source!B11/Source!B17</x:f>
        <x:v>0.35</x:v>
      </x:c>
      <x:c r="C16" s="13" t="n">
        <x:f>Source!C11/Source!C17</x:f>
        <x:v>0.3</x:v>
      </x:c>
      <x:c r="D16" s="2"/>
      <x:c r="E16" s="2"/>
      <x:c r="F16" s="2"/>
    </x:row>
    <x:row r="17" ht="25" customHeight="1">
      <x:c r="A17" s="2" t="str">
        <x:v>PP&amp;E</x:v>
      </x:c>
      <x:c r="B17" s="13" t="n">
        <x:f>Source!B12/Source!B17</x:f>
        <x:v>0.08</x:v>
      </x:c>
      <x:c r="C17" s="13" t="n">
        <x:f>Source!C12/Source!C17</x:f>
        <x:v>0.6</x:v>
      </x:c>
      <x:c r="D17" s="2"/>
      <x:c r="E17" s="2"/>
      <x:c r="F17" s="2"/>
    </x:row>
    <x:row r="18" ht="25" customHeight="1">
      <x:c r="A18" s="2" t="str">
        <x:v>Intangibles incl. goodwill</x:v>
      </x:c>
      <x:c r="B18" s="13" t="n">
        <x:f>Source!B13/Source!B17</x:f>
        <x:v>0.42</x:v>
      </x:c>
      <x:c r="C18" s="13" t="n">
        <x:f>Source!C13/Source!C17</x:f>
        <x:v>0.0375</x:v>
      </x:c>
      <x:c r="D18" s="2"/>
      <x:c r="E18" s="2"/>
      <x:c r="F18" s="2"/>
    </x:row>
    <x:row r="19" ht="25" customHeight="1">
      <x:c r="A19" s="2" t="str">
        <x:v>Other non-current assets</x:v>
      </x:c>
      <x:c r="B19" s="13" t="n">
        <x:f>(Source!B14+Source!B15)/Source!B17</x:f>
        <x:v>0.15</x:v>
      </x:c>
      <x:c r="C19" s="13" t="n">
        <x:f>(Source!C14+Source!C15)/Source!C17</x:f>
        <x:v>0.0625</x:v>
      </x:c>
      <x:c r="D19" s="2"/>
      <x:c r="E19" s="2"/>
      <x:c r="F19" s="2"/>
    </x:row>
    <x:row r="20" ht="25" customHeight="1">
      <x:c r="A20" s="2"/>
      <x:c r="B20" s="2"/>
      <x:c r="C20" s="2"/>
      <x:c r="D20" s="2"/>
      <x:c r="E20" s="2"/>
      <x:c r="F20" s="2"/>
    </x:row>
    <x:row r="21" ht="25" customHeight="1">
      <x:c r="A21" s="2"/>
      <x:c r="B21" s="2"/>
      <x:c r="C21" s="2"/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25" customHeight="1">
      <x:c r="A23" s="2"/>
      <x:c r="B23" s="2"/>
      <x:c r="C23" s="2"/>
      <x:c r="D23" s="2"/>
      <x:c r="E23" s="2"/>
      <x:c r="F23" s="2"/>
    </x:row>
    <x:row r="24" ht="25" customHeight="1">
      <x:c r="A24" s="2"/>
      <x:c r="B24" s="2"/>
      <x:c r="C24" s="2"/>
      <x:c r="D24" s="2"/>
      <x:c r="E24" s="2"/>
      <x:c r="F24" s="2"/>
    </x:row>
    <x:row r="25" ht="25" customHeight="1">
      <x:c r="A25" s="2"/>
      <x:c r="B25" s="2"/>
      <x:c r="C25" s="2"/>
      <x:c r="D25" s="2"/>
      <x:c r="E25" s="2"/>
      <x:c r="F25" s="2"/>
    </x:row>
    <x:row r="26" ht="25" customHeight="1">
      <x:c r="A26" s="2"/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  <x:row r="32" ht="25" customHeight="1">
      <x:c r="A32" s="2"/>
      <x:c r="B32" s="2"/>
      <x:c r="C32" s="2"/>
      <x:c r="D32" s="2"/>
      <x:c r="E32" s="2"/>
      <x:c r="F32" s="2"/>
    </x:row>
    <x:row r="33" ht="25" customHeight="1">
      <x:c r="A33" s="2"/>
      <x:c r="B33" s="2"/>
      <x:c r="C33" s="2"/>
      <x:c r="D33" s="2"/>
      <x:c r="E33" s="2"/>
      <x:c r="F33" s="2"/>
    </x:row>
    <x:row r="34" ht="25" customHeight="1">
      <x:c r="A34" s="2"/>
      <x:c r="B34" s="2"/>
      <x:c r="C34" s="2"/>
      <x:c r="D34" s="2"/>
      <x:c r="E34" s="2"/>
      <x:c r="F34" s="2"/>
    </x:row>
    <x:row r="35" ht="25" customHeight="1">
      <x:c r="A35" s="2"/>
      <x:c r="B35" s="2"/>
      <x:c r="C35" s="2"/>
      <x:c r="D35" s="2"/>
      <x:c r="E35" s="2"/>
      <x:c r="F35" s="2"/>
    </x:row>
    <x:row r="36" ht="25" customHeight="1">
      <x:c r="A36" s="2"/>
      <x:c r="B36" s="2"/>
      <x:c r="C36" s="2"/>
      <x:c r="D36" s="2"/>
      <x:c r="E36" s="2"/>
      <x:c r="F36" s="2"/>
    </x:row>
    <x:row r="37" ht="29" customHeight="1">
      <x:c r="A37" s="17" t="str">
        <x:v>Table A3 · 假设无形资产账面额减值 20%；不计税、无现金支付、负债不变；权益承受同额损失。不是对两公司的预测。</x:v>
      </x:c>
      <x:c r="B37" s="17"/>
      <x:c r="C37" s="17"/>
      <x:c r="D37" s="17"/>
      <x:c r="E37" s="17"/>
      <x:c r="F37" s="17"/>
    </x:row>
    <x:row r="38" ht="29" customHeight="1">
      <x:c r="A38" s="17"/>
      <x:c r="B38" s="17"/>
      <x:c r="C38" s="17"/>
      <x:c r="D38" s="17"/>
      <x:c r="E38" s="17"/>
      <x:c r="F38" s="17"/>
    </x:row>
    <x:row r="39" ht="34" customHeight="1">
      <x:c r="A39" s="8" t="str">
        <x:v>情景项目</x:v>
      </x:c>
      <x:c r="B39" s="8" t="str">
        <x:v>CloudSoft</x:v>
      </x:c>
      <x:c r="C39" s="8" t="str">
        <x:v>SteelForge</x:v>
      </x:c>
      <x:c r="D39" s="8" t="str">
        <x:v>含义</x:v>
      </x:c>
      <x:c r="E39" s="2"/>
      <x:c r="F39" s="2"/>
    </x:row>
    <x:row r="40" ht="37" customHeight="1">
      <x:c r="A40" s="2" t="str">
        <x:v>假设减值比例</x:v>
      </x:c>
      <x:c r="B40" s="26" t="n">
        <x:v>0.2</x:v>
      </x:c>
      <x:c r="C40" s="26" t="n">
        <x:v>0.2</x:v>
      </x:c>
      <x:c r="D40" s="11" t="str">
        <x:v>可修改的情景输入</x:v>
      </x:c>
      <x:c r="E40" s="2"/>
      <x:c r="F40" s="2"/>
    </x:row>
    <x:row r="41" ht="37" customHeight="1">
      <x:c r="A41" s="2" t="str">
        <x:v>减值损失（HK$m）</x:v>
      </x:c>
      <x:c r="B41" s="12" t="n">
        <x:f>Source!B13*B40</x:f>
        <x:v>840</x:v>
      </x:c>
      <x:c r="C41" s="12" t="n">
        <x:f>Source!C13*C40</x:f>
        <x:v>120</x:v>
      </x:c>
      <x:c r="D41" s="11" t="str">
        <x:v>账面价值下调，不等于当期现金付款</x:v>
      </x:c>
      <x:c r="E41" s="2"/>
      <x:c r="F41" s="2"/>
    </x:row>
    <x:row r="42" ht="37" customHeight="1">
      <x:c r="A42" s="2" t="str">
        <x:v>新资产总额</x:v>
      </x:c>
      <x:c r="B42" s="12" t="n">
        <x:f>Source!B17-B41</x:f>
        <x:v>9160</x:v>
      </x:c>
      <x:c r="C42" s="12" t="n">
        <x:f>Source!C17-C41</x:f>
        <x:v>15880</x:v>
      </x:c>
      <x:c r="D42" s="11" t="str">
        <x:v>资产减少</x:v>
      </x:c>
      <x:c r="E42" s="2"/>
      <x:c r="F42" s="2"/>
    </x:row>
    <x:row r="43" ht="37" customHeight="1">
      <x:c r="A43" s="2" t="str">
        <x:v>负债总额（不变）</x:v>
      </x:c>
      <x:c r="B43" s="12" t="n">
        <x:f>Source!B21+Source!B24</x:f>
        <x:v>3000</x:v>
      </x:c>
      <x:c r="C43" s="12" t="n">
        <x:f>Source!C21+Source!C24</x:f>
        <x:v>10000</x:v>
      </x:c>
      <x:c r="D43" s="11" t="str">
        <x:v>没有新增或偿还负债</x:v>
      </x:c>
      <x:c r="E43" s="2"/>
      <x:c r="F43" s="2"/>
    </x:row>
    <x:row r="44" ht="37" customHeight="1">
      <x:c r="A44" s="2" t="str">
        <x:v>新权益总额</x:v>
      </x:c>
      <x:c r="B44" s="12" t="n">
        <x:f>Source!B28-B41</x:f>
        <x:v>6160</x:v>
      </x:c>
      <x:c r="C44" s="12" t="n">
        <x:f>Source!C28-C41</x:f>
        <x:v>5880</x:v>
      </x:c>
      <x:c r="D44" s="11" t="str">
        <x:v>未计税及 NCI 分配的合并口径</x:v>
      </x:c>
      <x:c r="E44" s="2"/>
      <x:c r="F44" s="2"/>
    </x:row>
    <x:row r="45" ht="37" customHeight="1">
      <x:c r="A45" s="2" t="str">
        <x:v>现金（不变）</x:v>
      </x:c>
      <x:c r="B45" s="12" t="n">
        <x:f>Source!B7</x:f>
        <x:v>1800</x:v>
      </x:c>
      <x:c r="C45" s="12" t="n">
        <x:f>Source!C7</x:f>
        <x:v>450</x:v>
      </x:c>
      <x:c r="D45" s="11" t="str">
        <x:v>没有因为减值收到新现金</x:v>
      </x:c>
      <x:c r="E45" s="2"/>
      <x:c r="F45" s="2"/>
    </x:row>
    <x:row r="46" ht="37" customHeight="1">
      <x:c r="A46" s="2" t="str">
        <x:v>现金占新资产比例</x:v>
      </x:c>
      <x:c r="B46" s="13" t="n">
        <x:f>B45/B42</x:f>
        <x:v>0.1965065502183406</x:v>
      </x:c>
      <x:c r="C46" s="13" t="n">
        <x:f>C45/C42</x:f>
        <x:v>0.028337531486146095</x:v>
      </x:c>
      <x:c r="D46" s="11" t="str">
        <x:v>分母下降会使此比例上升</x:v>
      </x:c>
      <x:c r="E46" s="2"/>
      <x:c r="F46" s="2"/>
    </x:row>
    <x:row r="47" ht="37" customHeight="1">
      <x:c r="A47" s="2" t="str">
        <x:v>负债占新资产比例</x:v>
      </x:c>
      <x:c r="B47" s="13" t="n">
        <x:f>B43/B42</x:f>
        <x:v>0.32751091703056767</x:v>
      </x:c>
      <x:c r="C47" s="13" t="n">
        <x:f>C43/C42</x:f>
        <x:v>0.6297229219143576</x:v>
      </x:c>
      <x:c r="D47" s="11" t="str">
        <x:v>比例上升不等于借款增加</x:v>
      </x:c>
      <x:c r="E47" s="2"/>
      <x:c r="F47" s="2"/>
    </x:row>
    <x:row r="48" ht="37" customHeight="1">
      <x:c r="A48" s="2" t="str">
        <x:v>权益恒等式核对</x:v>
      </x:c>
      <x:c r="B48" s="27" t="n">
        <x:f>B42-B43-B44</x:f>
        <x:v>0</x:v>
      </x:c>
      <x:c r="C48" s="27" t="n">
        <x:f>C42-C43-C44</x:f>
        <x:v>0</x:v>
      </x:c>
      <x:c r="D48" s="11" t="str">
        <x:v>资产－负债－权益应为 0</x:v>
      </x:c>
      <x:c r="E48" s="2"/>
      <x:c r="F48" s="2"/>
    </x:row>
    <x:row r="49" ht="25" customHeight="1">
      <x:c r="A49" s="2"/>
      <x:c r="B49" s="2"/>
      <x:c r="C49" s="2"/>
      <x:c r="D49" s="2"/>
      <x:c r="E49" s="2"/>
      <x:c r="F49" s="2"/>
    </x:row>
    <x:row r="50" ht="25" customHeight="1">
      <x:c r="A50" s="2"/>
      <x:c r="B50" s="2"/>
      <x:c r="C50" s="2"/>
      <x:c r="D50" s="2"/>
      <x:c r="E50" s="2"/>
      <x:c r="F50" s="2"/>
    </x:row>
    <x:row r="51" ht="25" customHeight="1">
      <x:c r="A51" s="2"/>
      <x:c r="B51" s="2"/>
      <x:c r="C51" s="2"/>
      <x:c r="D51" s="2"/>
      <x:c r="E51" s="2"/>
      <x:c r="F51" s="2"/>
    </x:row>
  </x:sheetData>
  <x:mergeCells>
    <x:mergeCell ref="A1:F2"/>
    <x:mergeCell ref="A3:F4"/>
    <x:mergeCell ref="A37:F38"/>
  </x:mergeCells>
  <x:pageMargins left="0.7" right="0.7" top="0.75" bottom="0.75" header="0.3" footer="0.3"/>
  <x:drawing xmlns:r="http://schemas.openxmlformats.org/officeDocument/2006/relationships" r:id="R10e8b8bde6754a4d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7.5" hidden="0" customWidth="1"/>
    <x:col min="2" max="2" width="21.25" hidden="0" customWidth="1"/>
    <x:col min="3" max="3" width="21.25" hidden="0" customWidth="1"/>
    <x:col min="4" max="4" width="45" hidden="0" customWidth="1"/>
    <x:col min="5" max="5" width="21.8799991607666" hidden="0" customWidth="1"/>
    <x:col min="6" max="6" width="14.380000114440918" hidden="0" customWidth="1"/>
  </x:cols>
  <x:sheetData>
    <x:row r="1" ht="27" customHeight="1">
      <x:c r="A1" s="4" t="str">
        <x:v>Case 3 · 计算核对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3" customHeight="1">
      <x:c r="A3" s="6" t="str">
        <x:v>原题明细加总、总额恒等式和官方解答逐项核查。0 代表无差额；舍入后的百分比加总可以与 100.0% 差 0.1 个百分点。</x:v>
      </x:c>
      <x:c r="B3" s="6"/>
      <x:c r="C3" s="6"/>
      <x:c r="D3" s="6"/>
      <x:c r="E3" s="6"/>
      <x:c r="F3" s="6"/>
    </x:row>
    <x:row r="4" ht="23" customHeight="1">
      <x:c r="A4" s="6"/>
      <x:c r="B4" s="6"/>
      <x:c r="C4" s="6"/>
      <x:c r="D4" s="6"/>
      <x:c r="E4" s="6"/>
      <x:c r="F4" s="6"/>
    </x:row>
    <x:row r="5" ht="25" customHeight="1">
      <x:c r="A5" s="2"/>
      <x:c r="B5" s="2"/>
      <x:c r="C5" s="2"/>
      <x:c r="D5" s="2"/>
      <x:c r="E5" s="2"/>
      <x:c r="F5" s="2"/>
    </x:row>
    <x:row r="6" ht="34" customHeight="1">
      <x:c r="A6" s="8" t="str">
        <x:v>核对项目</x:v>
      </x:c>
      <x:c r="B6" s="8" t="str">
        <x:v>CloudSoft 差额</x:v>
      </x:c>
      <x:c r="C6" s="8" t="str">
        <x:v>SteelForge 差额</x:v>
      </x:c>
      <x:c r="D6" s="8" t="str">
        <x:v>解释</x:v>
      </x:c>
      <x:c r="E6" s="2"/>
      <x:c r="F6" s="2"/>
    </x:row>
    <x:row r="7" ht="34" customHeight="1">
      <x:c r="A7" s="2" t="str">
        <x:v>流动资产合计</x:v>
      </x:c>
      <x:c r="B7" s="33" t="n">
        <x:f>Answer!B11-Source!B11</x:f>
        <x:v>0</x:v>
      </x:c>
      <x:c r="C7" s="33" t="n">
        <x:f>Answer!D11-Source!C11</x:f>
        <x:v>0</x:v>
      </x:c>
      <x:c r="D7" s="11" t="str">
        <x:v>明细重算金额－老师报告合计，应为 0</x:v>
      </x:c>
      <x:c r="E7" s="2"/>
      <x:c r="F7" s="2"/>
    </x:row>
    <x:row r="8" ht="34" customHeight="1">
      <x:c r="A8" s="2" t="str">
        <x:v>非流动资产合计</x:v>
      </x:c>
      <x:c r="B8" s="33" t="n">
        <x:f>Answer!B16-Source!B16</x:f>
        <x:v>0</x:v>
      </x:c>
      <x:c r="C8" s="33" t="n">
        <x:f>Answer!D16-Source!C16</x:f>
        <x:v>0</x:v>
      </x:c>
      <x:c r="D8" s="11" t="str">
        <x:v>明细重算金额－老师报告合计，应为 0</x:v>
      </x:c>
      <x:c r="E8" s="2"/>
      <x:c r="F8" s="2"/>
    </x:row>
    <x:row r="9" ht="34" customHeight="1">
      <x:c r="A9" s="2" t="str">
        <x:v>资产总额</x:v>
      </x:c>
      <x:c r="B9" s="33" t="n">
        <x:f>Answer!B17-Source!B17</x:f>
        <x:v>0</x:v>
      </x:c>
      <x:c r="C9" s="33" t="n">
        <x:f>Answer!D17-Source!C17</x:f>
        <x:v>0</x:v>
      </x:c>
      <x:c r="D9" s="11" t="str">
        <x:v>明细重算金额－老师报告合计，应为 0</x:v>
      </x:c>
      <x:c r="E9" s="2"/>
      <x:c r="F9" s="2"/>
    </x:row>
    <x:row r="10" ht="34" customHeight="1">
      <x:c r="A10" s="2" t="str">
        <x:v>流动负债合计</x:v>
      </x:c>
      <x:c r="B10" s="33" t="n">
        <x:f>Answer!B21-Source!B21</x:f>
        <x:v>0</x:v>
      </x:c>
      <x:c r="C10" s="33" t="n">
        <x:f>Answer!D21-Source!C21</x:f>
        <x:v>0</x:v>
      </x:c>
      <x:c r="D10" s="11" t="str">
        <x:v>明细重算金额－老师报告合计，应为 0</x:v>
      </x:c>
      <x:c r="E10" s="2"/>
      <x:c r="F10" s="2"/>
    </x:row>
    <x:row r="11" ht="34" customHeight="1">
      <x:c r="A11" s="2" t="str">
        <x:v>非流动负债合计</x:v>
      </x:c>
      <x:c r="B11" s="33" t="n">
        <x:f>Answer!B24-Source!B24</x:f>
        <x:v>0</x:v>
      </x:c>
      <x:c r="C11" s="33" t="n">
        <x:f>Answer!D24-Source!C24</x:f>
        <x:v>0</x:v>
      </x:c>
      <x:c r="D11" s="11" t="str">
        <x:v>明细重算金额－老师报告合计，应为 0</x:v>
      </x:c>
      <x:c r="E11" s="2"/>
      <x:c r="F11" s="2"/>
    </x:row>
    <x:row r="12" ht="34" customHeight="1">
      <x:c r="A12" s="2" t="str">
        <x:v>权益合计</x:v>
      </x:c>
      <x:c r="B12" s="33" t="n">
        <x:f>Answer!B28-Source!B28</x:f>
        <x:v>0</x:v>
      </x:c>
      <x:c r="C12" s="33" t="n">
        <x:f>Answer!D28-Source!C28</x:f>
        <x:v>0</x:v>
      </x:c>
      <x:c r="D12" s="11" t="str">
        <x:v>明细重算金额－老师报告合计，应为 0</x:v>
      </x:c>
      <x:c r="E12" s="2"/>
      <x:c r="F12" s="2"/>
    </x:row>
    <x:row r="13" ht="34" customHeight="1">
      <x:c r="A13" s="2" t="str">
        <x:v>负债及权益总额</x:v>
      </x:c>
      <x:c r="B13" s="33" t="n">
        <x:f>Answer!B29-Source!B29</x:f>
        <x:v>0</x:v>
      </x:c>
      <x:c r="C13" s="33" t="n">
        <x:f>Answer!D29-Source!C29</x:f>
        <x:v>0</x:v>
      </x:c>
      <x:c r="D13" s="11" t="str">
        <x:v>明细重算金额－老师报告合计，应为 0</x:v>
      </x:c>
      <x:c r="E13" s="2"/>
      <x:c r="F13" s="2"/>
    </x:row>
    <x:row r="14" ht="34" customHeight="1">
      <x:c r="A14" s="2"/>
      <x:c r="B14" s="33"/>
      <x:c r="C14" s="33"/>
      <x:c r="D14" s="11"/>
      <x:c r="E14" s="2"/>
      <x:c r="F14" s="2"/>
    </x:row>
    <x:row r="15" ht="34" customHeight="1">
      <x:c r="A15" s="2" t="str">
        <x:v>资产－负债－权益</x:v>
      </x:c>
      <x:c r="B15" s="33" t="n">
        <x:f>Source!B17-Source!B21-Source!B24-Source!B28</x:f>
        <x:v>0</x:v>
      </x:c>
      <x:c r="C15" s="33" t="n">
        <x:f>Source!C17-Source!C21-Source!C24-Source!C28</x:f>
        <x:v>0</x:v>
      </x:c>
      <x:c r="D15" s="11" t="str">
        <x:v>应为 0</x:v>
      </x:c>
      <x:c r="E15" s="2"/>
      <x:c r="F15" s="2"/>
    </x:row>
    <x:row r="16" ht="34" customHeight="1">
      <x:c r="A16" s="2"/>
      <x:c r="B16" s="33"/>
      <x:c r="C16" s="33"/>
      <x:c r="D16" s="11"/>
      <x:c r="E16" s="2"/>
      <x:c r="F16" s="2"/>
    </x:row>
    <x:row r="17" ht="34" customHeight="1">
      <x:c r="A17" s="2" t="str">
        <x:v>逐行百分比最大复算差</x:v>
      </x:c>
      <x:c r="B17" s="33" t="n">
        <x:f>MAX(ABS(Answer!C7-Source!B7/Source!B17),ABS(Answer!C8-Source!B8/Source!B17),ABS(Answer!C9-Source!B9/Source!B17),ABS(Answer!C10-Source!B10/Source!B17),ABS(Answer!C11-Source!B11/Source!B17),ABS(Answer!C12-Source!B12/Source!B17),ABS(Answer!C13-Source!B13/Source!B17),ABS(Answer!C14-Source!B14/Source!B17),ABS(Answer!C15-Source!B15/Source!B17),ABS(Answer!C16-Source!B16/Source!B17),ABS(Answer!C17-Source!B17/Source!B17),ABS(Answer!C18-Source!B18/Source!B17),ABS(Answer!C19-Source!B19/Source!B17),ABS(Answer!C20-Source!B20/Source!B17),ABS(Answer!C21-Source!B21/Source!B17),ABS(Answer!C22-Source!B22/Source!B17),ABS(Answer!C23-Source!B23/Source!B17),ABS(Answer!C24-Source!B24/Source!B17),ABS(Answer!C25-Source!B25/Source!B17),ABS(Answer!C26-Source!B26/Source!B17),ABS(Answer!C27-Source!B27/Source!B17),ABS(Answer!C28-Source!B28/Source!B17),ABS(Answer!C29-Source!B29/Source!B17))</x:f>
        <x:v>0</x:v>
      </x:c>
      <x:c r="C17" s="33" t="n">
        <x:f>MAX(ABS(Answer!E7-Source!C7/Source!C17),ABS(Answer!E8-Source!C8/Source!C17),ABS(Answer!E9-Source!C9/Source!C17),ABS(Answer!E10-Source!C10/Source!C17),ABS(Answer!E11-Source!C11/Source!C17),ABS(Answer!E12-Source!C12/Source!C17),ABS(Answer!E13-Source!C13/Source!C17),ABS(Answer!E14-Source!C14/Source!C17),ABS(Answer!E15-Source!C15/Source!C17),ABS(Answer!E16-Source!C16/Source!C17),ABS(Answer!E17-Source!C17/Source!C17),ABS(Answer!E18-Source!C18/Source!C17),ABS(Answer!E19-Source!C19/Source!C17),ABS(Answer!E20-Source!C20/Source!C17),ABS(Answer!E21-Source!C21/Source!C17),ABS(Answer!E22-Source!C22/Source!C17),ABS(Answer!E23-Source!C23/Source!C17),ABS(Answer!E24-Source!C24/Source!C17),ABS(Answer!E25-Source!C25/Source!C17),ABS(Answer!E26-Source!C26/Source!C17),ABS(Answer!E27-Source!C27/Source!C17),ABS(Answer!E28-Source!C28/Source!C17),ABS(Answer!E29-Source!C29/Source!C17))</x:f>
        <x:v>0</x:v>
      </x:c>
      <x:c r="D17" s="11" t="str">
        <x:v>与未舍入金额比例比较，应为 0</x:v>
      </x:c>
      <x:c r="E17" s="2"/>
      <x:c r="F17" s="2"/>
    </x:row>
    <x:row r="18" ht="34" customHeight="1">
      <x:c r="A18" s="2"/>
      <x:c r="B18" s="2"/>
      <x:c r="C18" s="2"/>
      <x:c r="D18" s="11"/>
      <x:c r="E18" s="2"/>
      <x:c r="F18" s="2"/>
    </x:row>
    <x:row r="19" ht="60" customHeight="1">
      <x:c r="A19" s="2" t="str">
        <x:v>资产明细展示值之和（%）</x:v>
      </x:c>
      <x:c r="B19" s="28" t="n">
        <x:f>ROUND(Answer!C7*100,1)+ROUND(Answer!C8*100,1)+ROUND(Answer!C9*100,1)+ROUND(Answer!C10*100,1)+ROUND(Answer!C12*100,1)+ROUND(Answer!C13*100,1)+ROUND(Answer!C14*100,1)+ROUND(Answer!C15*100,1)</x:f>
        <x:v>100</x:v>
      </x:c>
      <x:c r="C19" s="28" t="n">
        <x:f>ROUND(Answer!E7*100,1)+ROUND(Answer!E8*100,1)+ROUND(Answer!E9*100,1)+ROUND(Answer!E10*100,1)+ROUND(Answer!E12*100,1)+ROUND(Answer!E13*100,1)+ROUND(Answer!E14*100,1)+ROUND(Answer!E15*100,1)</x:f>
        <x:v>100.1</x:v>
      </x:c>
      <x:c r="D19" s="11" t="str">
        <x:v>CloudSoft 100.0%；SteelForge 100.1% 为正常逐行舍入</x:v>
      </x:c>
      <x:c r="E19" s="2"/>
      <x:c r="F19" s="2"/>
    </x:row>
    <x:row r="20" ht="25" customHeight="1">
      <x:c r="A20" s="2"/>
      <x:c r="B20" s="2"/>
      <x:c r="C20" s="2"/>
      <x:c r="D20" s="2"/>
      <x:c r="E20" s="2"/>
      <x:c r="F20" s="2"/>
    </x:row>
    <x:row r="21" ht="24" customHeight="1">
      <x:c r="A21" s="30" t="str">
        <x:v>核对依据：两张照片、用户下载的 Case 3 with solution.docx（19858 字节）和 Canvas 四页预览；46 个原金额与 46 个官方百分比逐项一致，14 个小计／合计关系独立复算。DOCX SHA-256: 15a0cc87f13fd8952490088a66d849c6416e1634cc317415ce053464d6191d1a</x:v>
      </x:c>
      <x:c r="B21" s="30"/>
      <x:c r="C21" s="30"/>
      <x:c r="D21" s="30"/>
      <x:c r="E21" s="30"/>
      <x:c r="F21" s="30"/>
    </x:row>
    <x:row r="22" ht="24" customHeight="1">
      <x:c r="A22" s="30"/>
      <x:c r="B22" s="30"/>
      <x:c r="C22" s="30"/>
      <x:c r="D22" s="30"/>
      <x:c r="E22" s="30"/>
      <x:c r="F22" s="30"/>
    </x:row>
    <x:row r="23" ht="24" customHeight="1">
      <x:c r="A23" s="30"/>
      <x:c r="B23" s="30"/>
      <x:c r="C23" s="30"/>
      <x:c r="D23" s="30"/>
      <x:c r="E23" s="30"/>
      <x:c r="F23" s="30"/>
    </x:row>
    <x:row r="24" ht="24" customHeight="1">
      <x:c r="A24" s="30"/>
      <x:c r="B24" s="30"/>
      <x:c r="C24" s="30"/>
      <x:c r="D24" s="30"/>
      <x:c r="E24" s="30"/>
      <x:c r="F24" s="30"/>
    </x:row>
    <x:row r="25" ht="25" customHeight="1">
      <x:c r="A25" s="2"/>
      <x:c r="B25" s="2"/>
      <x:c r="C25" s="2"/>
      <x:c r="D25" s="2"/>
      <x:c r="E25" s="2"/>
      <x:c r="F25" s="2"/>
    </x:row>
    <x:row r="26" ht="22" customHeight="1">
      <x:c r="A26" s="32" t="str">
        <x:v>Source photo hashes: 0c7973d7a3212181c92fddcf9012910c2ae405953cc9832f3fd7929832b5181b / 783e11b9db1fbc78aa81b80e2165e59c4d10a80783be91b9a0d258e146ef5ee4</x:v>
      </x:c>
      <x:c r="B26" s="32"/>
      <x:c r="C26" s="32"/>
      <x:c r="D26" s="32"/>
      <x:c r="E26" s="32"/>
      <x:c r="F26" s="32"/>
    </x:row>
    <x:row r="27" ht="22" customHeight="1">
      <x:c r="A27" s="32"/>
      <x:c r="B27" s="32"/>
      <x:c r="C27" s="32"/>
      <x:c r="D27" s="32"/>
      <x:c r="E27" s="32"/>
      <x:c r="F27" s="32"/>
    </x:row>
    <x:row r="28" ht="22" customHeight="1">
      <x:c r="A28" s="32"/>
      <x:c r="B28" s="32"/>
      <x:c r="C28" s="32"/>
      <x:c r="D28" s="32"/>
      <x:c r="E28" s="32"/>
      <x:c r="F28" s="3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34" customHeight="1">
      <x:c r="A31" s="8" t="str">
        <x:v>Official solution line</x:v>
      </x:c>
      <x:c r="B31" s="8" t="str">
        <x:v>Cloud official</x:v>
      </x:c>
      <x:c r="C31" s="8" t="str">
        <x:v>Steel official</x:v>
      </x:c>
      <x:c r="D31" s="8" t="str">
        <x:v>Cloud calculated</x:v>
      </x:c>
      <x:c r="E31" s="8" t="str">
        <x:v>Steel calculated</x:v>
      </x:c>
      <x:c r="F31" s="8" t="str">
        <x:v>最大差额</x:v>
      </x:c>
    </x:row>
    <x:row r="32" ht="40" customHeight="1">
      <x:c r="A32" s="11" t="str">
        <x:v>Cash and cash equivalents</x:v>
      </x:c>
      <x:c r="B32" s="13" t="n">
        <x:v>0.18</x:v>
      </x:c>
      <x:c r="C32" s="13" t="n">
        <x:v>0.027999999999999997</x:v>
      </x:c>
      <x:c r="D32" s="13" t="n">
        <x:f>ROUND(Answer!C7*100,1)/100</x:f>
        <x:v>0.18</x:v>
      </x:c>
      <x:c r="E32" s="13" t="n">
        <x:f>ROUND(Answer!E7*100,1)/100</x:f>
        <x:v>0.027999999999999997</x:v>
      </x:c>
      <x:c r="F32" s="33" t="n">
        <x:f>MAX(ABS(B32-D32),ABS(C32-E32))</x:f>
        <x:v>0</x:v>
      </x:c>
    </x:row>
    <x:row r="33" ht="40" customHeight="1">
      <x:c r="A33" s="11" t="str">
        <x:v>Accounts receivable</x:v>
      </x:c>
      <x:c r="B33" s="13" t="n">
        <x:v>0.12</x:v>
      </x:c>
      <x:c r="C33" s="13" t="n">
        <x:v>0.084</x:v>
      </x:c>
      <x:c r="D33" s="13" t="n">
        <x:f>ROUND(Answer!C8*100,1)/100</x:f>
        <x:v>0.12</x:v>
      </x:c>
      <x:c r="E33" s="13" t="n">
        <x:f>ROUND(Answer!E8*100,1)/100</x:f>
        <x:v>0.084</x:v>
      </x:c>
      <x:c r="F33" s="33" t="n">
        <x:f>MAX(ABS(B33-D33),ABS(C33-E33))</x:f>
        <x:v>0</x:v>
      </x:c>
    </x:row>
    <x:row r="34" ht="40" customHeight="1">
      <x:c r="A34" s="11" t="str">
        <x:v>Inventories</x:v>
      </x:c>
      <x:c r="B34" s="13" t="n">
        <x:v>0.015</x:v>
      </x:c>
      <x:c r="C34" s="13" t="n">
        <x:v>0.16899999999999998</x:v>
      </x:c>
      <x:c r="D34" s="13" t="n">
        <x:f>ROUND(Answer!C9*100,1)/100</x:f>
        <x:v>0.015</x:v>
      </x:c>
      <x:c r="E34" s="13" t="n">
        <x:f>ROUND(Answer!E9*100,1)/100</x:f>
        <x:v>0.16899999999999998</x:v>
      </x:c>
      <x:c r="F34" s="33" t="n">
        <x:f>MAX(ABS(B34-D34),ABS(C34-E34))</x:f>
        <x:v>0</x:v>
      </x:c>
    </x:row>
    <x:row r="35" ht="40" customHeight="1">
      <x:c r="A35" s="11" t="str">
        <x:v>Other current assets</x:v>
      </x:c>
      <x:c r="B35" s="13" t="n">
        <x:v>0.035</x:v>
      </x:c>
      <x:c r="C35" s="13" t="n">
        <x:v>0.019</x:v>
      </x:c>
      <x:c r="D35" s="13" t="n">
        <x:f>ROUND(Answer!C10*100,1)/100</x:f>
        <x:v>0.035</x:v>
      </x:c>
      <x:c r="E35" s="13" t="n">
        <x:f>ROUND(Answer!E10*100,1)/100</x:f>
        <x:v>0.019</x:v>
      </x:c>
      <x:c r="F35" s="33" t="n">
        <x:f>MAX(ABS(B35-D35),ABS(C35-E35))</x:f>
        <x:v>0</x:v>
      </x:c>
    </x:row>
    <x:row r="36" ht="40" customHeight="1">
      <x:c r="A36" s="11" t="str">
        <x:v>Total current assets</x:v>
      </x:c>
      <x:c r="B36" s="13" t="n">
        <x:v>0.35</x:v>
      </x:c>
      <x:c r="C36" s="13" t="n">
        <x:v>0.3</x:v>
      </x:c>
      <x:c r="D36" s="13" t="n">
        <x:f>ROUND(Answer!C11*100,1)/100</x:f>
        <x:v>0.35</x:v>
      </x:c>
      <x:c r="E36" s="13" t="n">
        <x:f>ROUND(Answer!E11*100,1)/100</x:f>
        <x:v>0.3</x:v>
      </x:c>
      <x:c r="F36" s="33" t="n">
        <x:f>MAX(ABS(B36-D36),ABS(C36-E36))</x:f>
        <x:v>0</x:v>
      </x:c>
    </x:row>
    <x:row r="37" ht="40" customHeight="1">
      <x:c r="A37" s="11" t="str">
        <x:v>Property, plant and equipment (net)</x:v>
      </x:c>
      <x:c r="B37" s="13" t="n">
        <x:v>0.08</x:v>
      </x:c>
      <x:c r="C37" s="13" t="n">
        <x:v>0.6</x:v>
      </x:c>
      <x:c r="D37" s="13" t="n">
        <x:f>ROUND(Answer!C12*100,1)/100</x:f>
        <x:v>0.08</x:v>
      </x:c>
      <x:c r="E37" s="13" t="n">
        <x:f>ROUND(Answer!E12*100,1)/100</x:f>
        <x:v>0.6</x:v>
      </x:c>
      <x:c r="F37" s="33" t="n">
        <x:f>MAX(ABS(B37-D37),ABS(C37-E37))</x:f>
        <x:v>0</x:v>
      </x:c>
    </x:row>
    <x:row r="38" ht="40" customHeight="1">
      <x:c r="A38" s="11" t="str">
        <x:v>Intangible assets (including goodwill)</x:v>
      </x:c>
      <x:c r="B38" s="13" t="n">
        <x:v>0.42</x:v>
      </x:c>
      <x:c r="C38" s="13" t="n">
        <x:v>0.038</x:v>
      </x:c>
      <x:c r="D38" s="13" t="n">
        <x:f>ROUND(Answer!C13*100,1)/100</x:f>
        <x:v>0.42</x:v>
      </x:c>
      <x:c r="E38" s="13" t="n">
        <x:f>ROUND(Answer!E13*100,1)/100</x:f>
        <x:v>0.038</x:v>
      </x:c>
      <x:c r="F38" s="33" t="n">
        <x:f>MAX(ABS(B38-D38),ABS(C38-E38))</x:f>
        <x:v>0</x:v>
      </x:c>
    </x:row>
    <x:row r="39" ht="40" customHeight="1">
      <x:c r="A39" s="11" t="str">
        <x:v>Long-term investments</x:v>
      </x:c>
      <x:c r="B39" s="13" t="n">
        <x:v>0.1</x:v>
      </x:c>
      <x:c r="C39" s="13" t="n">
        <x:v>0.025</x:v>
      </x:c>
      <x:c r="D39" s="13" t="n">
        <x:f>ROUND(Answer!C14*100,1)/100</x:f>
        <x:v>0.1</x:v>
      </x:c>
      <x:c r="E39" s="13" t="n">
        <x:f>ROUND(Answer!E14*100,1)/100</x:f>
        <x:v>0.025</x:v>
      </x:c>
      <x:c r="F39" s="33" t="n">
        <x:f>MAX(ABS(B39-D39),ABS(C39-E39))</x:f>
        <x:v>0</x:v>
      </x:c>
    </x:row>
    <x:row r="40" ht="40" customHeight="1">
      <x:c r="A40" s="11" t="str">
        <x:v>Other non-current assets</x:v>
      </x:c>
      <x:c r="B40" s="13" t="n">
        <x:v>0.05</x:v>
      </x:c>
      <x:c r="C40" s="13" t="n">
        <x:v>0.038</x:v>
      </x:c>
      <x:c r="D40" s="13" t="n">
        <x:f>ROUND(Answer!C15*100,1)/100</x:f>
        <x:v>0.05</x:v>
      </x:c>
      <x:c r="E40" s="13" t="n">
        <x:f>ROUND(Answer!E15*100,1)/100</x:f>
        <x:v>0.038</x:v>
      </x:c>
      <x:c r="F40" s="33" t="n">
        <x:f>MAX(ABS(B40-D40),ABS(C40-E40))</x:f>
        <x:v>0</x:v>
      </x:c>
    </x:row>
    <x:row r="41" ht="40" customHeight="1">
      <x:c r="A41" s="11" t="str">
        <x:v>Total non-current assets</x:v>
      </x:c>
      <x:c r="B41" s="13" t="n">
        <x:v>0.65</x:v>
      </x:c>
      <x:c r="C41" s="13" t="n">
        <x:v>0.7</x:v>
      </x:c>
      <x:c r="D41" s="13" t="n">
        <x:f>ROUND(Answer!C16*100,1)/100</x:f>
        <x:v>0.65</x:v>
      </x:c>
      <x:c r="E41" s="13" t="n">
        <x:f>ROUND(Answer!E16*100,1)/100</x:f>
        <x:v>0.7</x:v>
      </x:c>
      <x:c r="F41" s="33" t="n">
        <x:f>MAX(ABS(B41-D41),ABS(C41-E41))</x:f>
        <x:v>0</x:v>
      </x:c>
    </x:row>
    <x:row r="42" ht="40" customHeight="1">
      <x:c r="A42" s="11" t="str">
        <x:v>Total assets</x:v>
      </x:c>
      <x:c r="B42" s="13" t="n">
        <x:v>1</x:v>
      </x:c>
      <x:c r="C42" s="13" t="n">
        <x:v>1</x:v>
      </x:c>
      <x:c r="D42" s="13" t="n">
        <x:f>ROUND(Answer!C17*100,1)/100</x:f>
        <x:v>1</x:v>
      </x:c>
      <x:c r="E42" s="13" t="n">
        <x:f>ROUND(Answer!E17*100,1)/100</x:f>
        <x:v>1</x:v>
      </x:c>
      <x:c r="F42" s="33" t="n">
        <x:f>MAX(ABS(B42-D42),ABS(C42-E42))</x:f>
        <x:v>0</x:v>
      </x:c>
    </x:row>
    <x:row r="43" ht="40" customHeight="1">
      <x:c r="A43" s="11" t="str">
        <x:v>Accounts payable</x:v>
      </x:c>
      <x:c r="B43" s="13" t="n">
        <x:v>0.06</x:v>
      </x:c>
      <x:c r="C43" s="13" t="n">
        <x:v>0.1</x:v>
      </x:c>
      <x:c r="D43" s="13" t="n">
        <x:f>ROUND(Answer!C18*100,1)/100</x:f>
        <x:v>0.06</x:v>
      </x:c>
      <x:c r="E43" s="13" t="n">
        <x:f>ROUND(Answer!E18*100,1)/100</x:f>
        <x:v>0.1</x:v>
      </x:c>
      <x:c r="F43" s="33" t="n">
        <x:f>MAX(ABS(B43-D43),ABS(C43-E43))</x:f>
        <x:v>0</x:v>
      </x:c>
    </x:row>
    <x:row r="44" ht="40" customHeight="1">
      <x:c r="A44" s="11" t="str">
        <x:v>Short-term borrowings</x:v>
      </x:c>
      <x:c r="B44" s="13" t="n">
        <x:v>0.02</x:v>
      </x:c>
      <x:c r="C44" s="13" t="n">
        <x:v>0.075</x:v>
      </x:c>
      <x:c r="D44" s="13" t="n">
        <x:f>ROUND(Answer!C19*100,1)/100</x:f>
        <x:v>0.02</x:v>
      </x:c>
      <x:c r="E44" s="13" t="n">
        <x:f>ROUND(Answer!E19*100,1)/100</x:f>
        <x:v>0.075</x:v>
      </x:c>
      <x:c r="F44" s="33" t="n">
        <x:f>MAX(ABS(B44-D44),ABS(C44-E44))</x:f>
        <x:v>0</x:v>
      </x:c>
    </x:row>
    <x:row r="45" ht="40" customHeight="1">
      <x:c r="A45" s="11" t="str">
        <x:v>Other current liabilities</x:v>
      </x:c>
      <x:c r="B45" s="13" t="n">
        <x:v>0.07</x:v>
      </x:c>
      <x:c r="C45" s="13" t="n">
        <x:v>0.05</x:v>
      </x:c>
      <x:c r="D45" s="13" t="n">
        <x:f>ROUND(Answer!C20*100,1)/100</x:f>
        <x:v>0.07</x:v>
      </x:c>
      <x:c r="E45" s="13" t="n">
        <x:f>ROUND(Answer!E20*100,1)/100</x:f>
        <x:v>0.05</x:v>
      </x:c>
      <x:c r="F45" s="33" t="n">
        <x:f>MAX(ABS(B45-D45),ABS(C45-E45))</x:f>
        <x:v>0</x:v>
      </x:c>
    </x:row>
    <x:row r="46" ht="40" customHeight="1">
      <x:c r="A46" s="11" t="str">
        <x:v>Total current liabilities</x:v>
      </x:c>
      <x:c r="B46" s="13" t="n">
        <x:v>0.15</x:v>
      </x:c>
      <x:c r="C46" s="13" t="n">
        <x:v>0.225</x:v>
      </x:c>
      <x:c r="D46" s="13" t="n">
        <x:f>ROUND(Answer!C21*100,1)/100</x:f>
        <x:v>0.15</x:v>
      </x:c>
      <x:c r="E46" s="13" t="n">
        <x:f>ROUND(Answer!E21*100,1)/100</x:f>
        <x:v>0.225</x:v>
      </x:c>
      <x:c r="F46" s="33" t="n">
        <x:f>MAX(ABS(B46-D46),ABS(C46-E46))</x:f>
        <x:v>0</x:v>
      </x:c>
    </x:row>
    <x:row r="47" ht="40" customHeight="1">
      <x:c r="A47" s="11" t="str">
        <x:v>Long-term debt</x:v>
      </x:c>
      <x:c r="B47" s="13" t="n">
        <x:v>0.1</x:v>
      </x:c>
      <x:c r="C47" s="13" t="n">
        <x:v>0.35</x:v>
      </x:c>
      <x:c r="D47" s="13" t="n">
        <x:f>ROUND(Answer!C22*100,1)/100</x:f>
        <x:v>0.1</x:v>
      </x:c>
      <x:c r="E47" s="13" t="n">
        <x:f>ROUND(Answer!E22*100,1)/100</x:f>
        <x:v>0.35</x:v>
      </x:c>
      <x:c r="F47" s="33" t="n">
        <x:f>MAX(ABS(B47-D47),ABS(C47-E47))</x:f>
        <x:v>0</x:v>
      </x:c>
    </x:row>
    <x:row r="48" ht="40" customHeight="1">
      <x:c r="A48" s="11" t="str">
        <x:v>Other non-current liabilities</x:v>
      </x:c>
      <x:c r="B48" s="13" t="n">
        <x:v>0.05</x:v>
      </x:c>
      <x:c r="C48" s="13" t="n">
        <x:v>0.05</x:v>
      </x:c>
      <x:c r="D48" s="13" t="n">
        <x:f>ROUND(Answer!C23*100,1)/100</x:f>
        <x:v>0.05</x:v>
      </x:c>
      <x:c r="E48" s="13" t="n">
        <x:f>ROUND(Answer!E23*100,1)/100</x:f>
        <x:v>0.05</x:v>
      </x:c>
      <x:c r="F48" s="33" t="n">
        <x:f>MAX(ABS(B48-D48),ABS(C48-E48))</x:f>
        <x:v>0</x:v>
      </x:c>
    </x:row>
    <x:row r="49" ht="40" customHeight="1">
      <x:c r="A49" s="11" t="str">
        <x:v>Total non-current liabilities</x:v>
      </x:c>
      <x:c r="B49" s="13" t="n">
        <x:v>0.15</x:v>
      </x:c>
      <x:c r="C49" s="13" t="n">
        <x:v>0.4</x:v>
      </x:c>
      <x:c r="D49" s="13" t="n">
        <x:f>ROUND(Answer!C24*100,1)/100</x:f>
        <x:v>0.15</x:v>
      </x:c>
      <x:c r="E49" s="13" t="n">
        <x:f>ROUND(Answer!E24*100,1)/100</x:f>
        <x:v>0.4</x:v>
      </x:c>
      <x:c r="F49" s="33" t="n">
        <x:f>MAX(ABS(B49-D49),ABS(C49-E49))</x:f>
        <x:v>0</x:v>
      </x:c>
    </x:row>
    <x:row r="50" ht="40" customHeight="1">
      <x:c r="A50" s="11" t="str">
        <x:v>Share capital and share premium</x:v>
      </x:c>
      <x:c r="B50" s="13" t="n">
        <x:v>0.35</x:v>
      </x:c>
      <x:c r="C50" s="13" t="n">
        <x:v>0.125</x:v>
      </x:c>
      <x:c r="D50" s="13" t="n">
        <x:f>ROUND(Answer!C25*100,1)/100</x:f>
        <x:v>0.35</x:v>
      </x:c>
      <x:c r="E50" s="13" t="n">
        <x:f>ROUND(Answer!E25*100,1)/100</x:f>
        <x:v>0.125</x:v>
      </x:c>
      <x:c r="F50" s="33" t="n">
        <x:f>MAX(ABS(B50-D50),ABS(C50-E50))</x:f>
        <x:v>0</x:v>
      </x:c>
    </x:row>
    <x:row r="51" ht="40" customHeight="1">
      <x:c r="A51" s="11" t="str">
        <x:v>Retained earnings</x:v>
      </x:c>
      <x:c r="B51" s="13" t="n">
        <x:v>0.32</x:v>
      </x:c>
      <x:c r="C51" s="13" t="n">
        <x:v>0.225</x:v>
      </x:c>
      <x:c r="D51" s="13" t="n">
        <x:f>ROUND(Answer!C26*100,1)/100</x:f>
        <x:v>0.32</x:v>
      </x:c>
      <x:c r="E51" s="13" t="n">
        <x:f>ROUND(Answer!E26*100,1)/100</x:f>
        <x:v>0.225</x:v>
      </x:c>
      <x:c r="F51" s="33" t="n">
        <x:f>MAX(ABS(B51-D51),ABS(C51-E51))</x:f>
        <x:v>0</x:v>
      </x:c>
    </x:row>
    <x:row r="52" ht="40" customHeight="1">
      <x:c r="A52" s="11" t="str">
        <x:v>Other equity (including NCI)</x:v>
      </x:c>
      <x:c r="B52" s="13" t="n">
        <x:v>0.03</x:v>
      </x:c>
      <x:c r="C52" s="13" t="n">
        <x:v>0.025</x:v>
      </x:c>
      <x:c r="D52" s="13" t="n">
        <x:f>ROUND(Answer!C27*100,1)/100</x:f>
        <x:v>0.03</x:v>
      </x:c>
      <x:c r="E52" s="13" t="n">
        <x:f>ROUND(Answer!E27*100,1)/100</x:f>
        <x:v>0.025</x:v>
      </x:c>
      <x:c r="F52" s="33" t="n">
        <x:f>MAX(ABS(B52-D52),ABS(C52-E52))</x:f>
        <x:v>0</x:v>
      </x:c>
    </x:row>
    <x:row r="53" ht="40" customHeight="1">
      <x:c r="A53" s="11" t="str">
        <x:v>Total equity</x:v>
      </x:c>
      <x:c r="B53" s="13" t="n">
        <x:v>0.7</x:v>
      </x:c>
      <x:c r="C53" s="13" t="n">
        <x:v>0.375</x:v>
      </x:c>
      <x:c r="D53" s="13" t="n">
        <x:f>ROUND(Answer!C28*100,1)/100</x:f>
        <x:v>0.7</x:v>
      </x:c>
      <x:c r="E53" s="13" t="n">
        <x:f>ROUND(Answer!E28*100,1)/100</x:f>
        <x:v>0.375</x:v>
      </x:c>
      <x:c r="F53" s="33" t="n">
        <x:f>MAX(ABS(B53-D53),ABS(C53-E53))</x:f>
        <x:v>0</x:v>
      </x:c>
    </x:row>
    <x:row r="54" ht="40" customHeight="1">
      <x:c r="A54" s="11" t="str">
        <x:v>Total liabilities and equity</x:v>
      </x:c>
      <x:c r="B54" s="13" t="n">
        <x:v>1</x:v>
      </x:c>
      <x:c r="C54" s="13" t="n">
        <x:v>1</x:v>
      </x:c>
      <x:c r="D54" s="13" t="n">
        <x:f>ROUND(Answer!C29*100,1)/100</x:f>
        <x:v>1</x:v>
      </x:c>
      <x:c r="E54" s="13" t="n">
        <x:f>ROUND(Answer!E29*100,1)/100</x:f>
        <x:v>1</x:v>
      </x:c>
      <x:c r="F54" s="33" t="n">
        <x:f>MAX(ABS(B54-D54),ABS(C54-E54))</x:f>
        <x:v>0</x:v>
      </x:c>
    </x:row>
    <x:row r="55" ht="25" customHeight="1">
      <x:c r="A55" s="2"/>
      <x:c r="B55" s="2"/>
      <x:c r="C55" s="2"/>
      <x:c r="D55" s="2"/>
      <x:c r="E55" s="2"/>
      <x:c r="F55" s="2"/>
    </x:row>
  </x:sheetData>
  <x:mergeCells>
    <x:mergeCell ref="A1:F2"/>
    <x:mergeCell ref="A3:F4"/>
    <x:mergeCell ref="A21:F24"/>
    <x:mergeCell ref="A26:F28"/>
  </x:mergeCells>
  <x:pageMargins left="0.7" right="0.7" top="0.75" bottom="0.75" header="0.3" footer="0.3"/>
</x:worksheet>
</file>