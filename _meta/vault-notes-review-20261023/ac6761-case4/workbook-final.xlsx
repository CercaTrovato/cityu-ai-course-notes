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f6abe685444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答题总览" sheetId="1" r:id="R92f30b9c6f4a42fd"/>
    <x:sheet xmlns:r="http://schemas.openxmlformats.org/officeDocument/2006/relationships" name="多重性" sheetId="2" r:id="Rd0a16dea390d464c"/>
    <x:sheet xmlns:r="http://schemas.openxmlformats.org/officeDocument/2006/relationships" name="Q3原表与拆分" sheetId="3" r:id="R68adc8b3868748cb"/>
    <x:sheet xmlns:r="http://schemas.openxmlformats.org/officeDocument/2006/relationships" name="Q4关系表" sheetId="4" r:id="R1bce25fb731b4fac"/>
    <x:sheet xmlns:r="http://schemas.openxmlformats.org/officeDocument/2006/relationships" name="核对与边界" sheetId="5" r:id="Rf757034c7f1743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name val="Microsoft YaHei"/>
    </x:font>
    <x:font>
      <x:b/>
      <x:sz val="18"/>
      <x:color rgb="FFFFFFFF"/>
      <x:name val="Microsoft YaHei"/>
    </x:font>
    <x:font>
      <x:b/>
      <x:sz val="11"/>
      <x:color rgb="FFFFFFFF"/>
      <x:name val="Microsoft YaHei"/>
    </x:font>
    <x:font>
      <x:sz val="11"/>
      <x:color rgb="FF235F9C"/>
      <x:name val="Microsoft YaHei"/>
    </x:font>
    <x:font>
      <x:sz val="11"/>
      <x:color rgb="FF1B7158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5354F"/>
      </x:patternFill>
    </x:fill>
    <x:fill>
      <x:patternFill patternType="solid">
        <x:fgColor rgb="FFEAF2F8"/>
      </x:patternFill>
    </x:fill>
    <x:fill>
      <x:patternFill patternType="solid">
        <x:fgColor rgb="FFFFF1D5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bfeabaa49d451c" /><Relationship Type="http://schemas.openxmlformats.org/officeDocument/2006/relationships/theme" Target="/xl/theme/theme1.xml" Id="R6b125a6f061f4c95" /><Relationship Type="http://schemas.openxmlformats.org/officeDocument/2006/relationships/sharedStrings" Target="/xl/sharedStrings.xml" Id="R197ccb7f6f43413b" /><Relationship Type="http://schemas.openxmlformats.org/officeDocument/2006/relationships/worksheet" Target="/xl/worksheets/sheet1.xml" Id="R92f30b9c6f4a42fd" /><Relationship Type="http://schemas.openxmlformats.org/officeDocument/2006/relationships/worksheet" Target="/xl/worksheets/sheet2.xml" Id="Rd0a16dea390d464c" /><Relationship Type="http://schemas.openxmlformats.org/officeDocument/2006/relationships/worksheet" Target="/xl/worksheets/sheet3.xml" Id="R68adc8b3868748cb" /><Relationship Type="http://schemas.openxmlformats.org/officeDocument/2006/relationships/worksheet" Target="/xl/worksheets/sheet4.xml" Id="R1bce25fb731b4fac" /><Relationship Type="http://schemas.openxmlformats.org/officeDocument/2006/relationships/worksheet" Target="/xl/worksheets/sheet5.xml" Id="Rf757034c7f1743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75" hidden="0" customWidth="1"/>
    <x:col min="2" max="2" width="28.75" hidden="0" customWidth="1"/>
    <x:col min="3" max="3" width="76.25" hidden="0" customWidth="1"/>
    <x:col min="4" max="4" width="20" hidden="0" customWidth="1"/>
  </x:cols>
  <x:sheetData>
    <x:row r="1" ht="26" customHeight="1">
      <x:c r="A1" s="14" t="str">
        <x:v>Case 4｜参考答案与条件</x:v>
      </x:c>
      <x:c r="B1" s="14"/>
      <x:c r="C1" s="14"/>
      <x:c r="D1" s="14"/>
    </x:row>
    <x:row r="2" ht="26" customHeight="1">
      <x:c r="A2" s="14"/>
      <x:c r="B2" s="14"/>
      <x:c r="C2" s="14"/>
      <x:c r="D2" s="14"/>
    </x:row>
    <x:row r="3" ht="26" customHeight="1">
      <x:c r="A3" s="15" t="str">
        <x:v>2026-10-26：本地官方 Word 与两照片逐项核对；计分/DDL/提交要求未实时核 Canvas。编号按文本保留。</x:v>
      </x:c>
      <x:c r="B3" s="15"/>
      <x:c r="C3" s="15"/>
      <x:c r="D3" s="15"/>
    </x:row>
    <x:row r="4" ht="26" customHeight="1">
      <x:c r="A4" s="15"/>
      <x:c r="B4" s="15"/>
      <x:c r="C4" s="15"/>
      <x:c r="D4" s="15"/>
    </x:row>
    <x:row r="5" ht="38" customHeight="1">
      <x:c r="A5" s="16" t="str">
        <x:v>题目</x:v>
      </x:c>
      <x:c r="B5" s="16" t="str">
        <x:v>结论</x:v>
      </x:c>
      <x:c r="C5" s="16" t="str">
        <x:v>English reference answer</x:v>
      </x:c>
      <x:c r="D5" s="16" t="str">
        <x:v>来源 / 限制</x:v>
      </x:c>
    </x:row>
    <x:row r="6" ht="82" customHeight="1">
      <x:c r="A6" s="10" t="str">
        <x:v>1</x:v>
      </x:c>
      <x:c r="B6" s="10" t="str">
        <x:v>Purchase 0..* — 1..1 Supplier</x:v>
      </x:c>
      <x:c r="C6" s="10" t="str">
        <x:v>Each purchase is made from exactly one supplier. A supplier may have zero or many purchases. The zero is on the Purchase end.</x:v>
      </x:c>
      <x:c r="D6" s="10" t="str">
        <x:v>官解Q1端点已核；已发生采购</x:v>
      </x:c>
    </x:row>
    <x:row r="7" ht="82" customHeight="1">
      <x:c r="A7" s="10" t="str">
        <x:v>2</x:v>
      </x:c>
      <x:c r="B7" s="10" t="str">
        <x:v>Purchase 1..* — 0..* PurchaseReturn</x:v>
      </x:c>
      <x:c r="C7" s="10" t="str">
        <x:v>A purchase may have no return or several return events. Each return relates to one or more original purchases; combined returns allow multiple purchases.</x:v>
      </x:c>
      <x:c r="D7" s="10" t="str">
        <x:v>官解Q2端点已核；批次与事件分清</x:v>
      </x:c>
    </x:row>
    <x:row r="8" ht="82" customHeight="1">
      <x:c r="A8" s="10" t="str">
        <x:v>3a</x:v>
      </x:c>
      <x:c r="B8" s="10" t="str">
        <x:v>Stephen 的 CustomerID 为空</x:v>
      </x:c>
      <x:c r="C8" s="10" t="str">
        <x:v>Assuming CustomerID is the primary key, the Stephen row violates entity integrity. Assign a verified unique non-empty ID; do not invent one.</x:v>
      </x:c>
      <x:c r="D8" s="10" t="str">
        <x:v>官解：Violate entity integrity.</x:v>
      </x:c>
    </x:row>
    <x:row r="9" ht="82" customHeight="1">
      <x:c r="A9" s="10" t="str">
        <x:v>3b</x:v>
      </x:c>
      <x:c r="B9" s="10" t="str">
        <x:v>No：按当前四行不违反；拆表另属设计扩展</x:v>
      </x:c>
      <x:c r="C9" s="10" t="str">
        <x:v>No. Matching names and ages under different CustomerID values do not establish repeated facts about the same customer. Separating customer details from sales is a separate design extension for repeated purchases.</x:v>
      </x:c>
      <x:c r="D9" s="10" t="str">
        <x:v>官解：No.；拆表为笔记设计扩展</x:v>
      </x:c>
    </x:row>
    <x:row r="10" ht="82" customHeight="1">
      <x:c r="A10" s="10" t="str">
        <x:v>4</x:v>
      </x:c>
      <x:c r="B10" s="10" t="str">
        <x:v>CashReceipt 加 Cashier# 外键</x:v>
      </x:c>
      <x:c r="C10" s="10" t="str">
        <x:v>Cashier(Cashier# PK, Name); CashReceipt(CashR# PK, Amount, Cashier# NOT NULL FK). Cashier# must not be unique in CashReceipt. Keep cashiers without receipts.</x:v>
      </x:c>
      <x:c r="D10" s="10" t="str">
        <x:v>官解Q4四行外键已核</x:v>
      </x:c>
    </x:row>
    <x:row r="11" ht="26" customHeight="1">
      <x:c r="A11" s="10"/>
      <x:c r="B11" s="10"/>
      <x:c r="C11" s="10"/>
      <x:c r="D11" s="10"/>
    </x:row>
    <x:row r="12" ht="26" customHeight="1">
      <x:c r="A12" s="17" t="str">
        <x:v>Q3b：如果两个 Andy 确实是同一人，需先有身份依据，再清理编号；如果是不同人，姓名/年龄重复是允许的。照片本身不证明是同一人。</x:v>
      </x:c>
      <x:c r="B12" s="17"/>
      <x:c r="C12" s="17"/>
      <x:c r="D12" s="17"/>
    </x:row>
    <x:row r="13" ht="26" customHeight="1">
      <x:c r="A13" s="17"/>
      <x:c r="B13" s="17"/>
      <x:c r="C13" s="17"/>
      <x:c r="D13" s="17"/>
    </x:row>
    <x:row r="14" ht="26" customHeight="1">
      <x:c r="A14" s="17"/>
      <x:c r="B14" s="17"/>
      <x:c r="C14" s="17"/>
      <x:c r="D14" s="17"/>
    </x:row>
    <x:row r="15" ht="26" customHeight="1">
      <x:c r="A15" s="10"/>
      <x:c r="B15" s="10"/>
      <x:c r="C15" s="10"/>
      <x:c r="D15" s="10"/>
    </x:row>
    <x:row r="16" ht="26" customHeight="1">
      <x:c r="A16" s="10" t="str">
        <x:v>I used OpenAI Codex to assist with this case.</x:v>
      </x:c>
      <x:c r="B16" s="10"/>
      <x:c r="C16" s="10"/>
      <x:c r="D16" s="10"/>
    </x:row>
    <x:row r="17" ht="26" customHeight="1">
      <x:c r="A17" s="10"/>
      <x:c r="B17" s="10"/>
      <x:c r="C17" s="10"/>
      <x:c r="D17" s="10"/>
    </x:row>
    <x:row r="18" ht="26" customHeight="1">
      <x:c r="A18" s="10"/>
      <x:c r="B18" s="10"/>
      <x:c r="C18" s="10"/>
      <x:c r="D18" s="10"/>
    </x:row>
    <x:row r="19" ht="26" customHeight="1">
      <x:c r="A19" s="10"/>
      <x:c r="B19" s="10"/>
      <x:c r="C19" s="10"/>
      <x:c r="D19" s="10"/>
    </x:row>
    <x:row r="20" ht="26" customHeight="1">
      <x:c r="A20" s="10"/>
      <x:c r="B20" s="10"/>
      <x:c r="C20" s="10"/>
      <x:c r="D20" s="10"/>
    </x:row>
    <x:row r="21" ht="26" customHeight="1">
      <x:c r="A21" s="10"/>
      <x:c r="B21" s="10"/>
      <x:c r="C21" s="10"/>
      <x:c r="D21" s="10"/>
    </x:row>
    <x:row r="22" ht="26" customHeight="1">
      <x:c r="A22" s="10"/>
      <x:c r="B22" s="10"/>
      <x:c r="C22" s="10"/>
      <x:c r="D22" s="10"/>
    </x:row>
    <x:row r="23" ht="26" customHeight="1">
      <x:c r="A23" s="10"/>
      <x:c r="B23" s="10"/>
      <x:c r="C23" s="10"/>
      <x:c r="D23" s="10"/>
    </x:row>
    <x:row r="24" ht="26" customHeight="1">
      <x:c r="A24" s="10"/>
      <x:c r="B24" s="10"/>
      <x:c r="C24" s="10"/>
      <x:c r="D24" s="10"/>
    </x:row>
    <x:row r="25" ht="26" customHeight="1">
      <x:c r="A25" s="10"/>
      <x:c r="B25" s="10"/>
      <x:c r="C25" s="10"/>
      <x:c r="D25" s="10"/>
    </x:row>
    <x:row r="26" ht="26" customHeight="1">
      <x:c r="A26" s="10"/>
      <x:c r="B26" s="10"/>
      <x:c r="C26" s="10"/>
      <x:c r="D26" s="10"/>
    </x:row>
    <x:row r="27" ht="26" customHeight="1">
      <x:c r="A27" s="10"/>
      <x:c r="B27" s="10"/>
      <x:c r="C27" s="10"/>
      <x:c r="D27" s="10"/>
    </x:row>
    <x:row r="28" ht="26" customHeight="1">
      <x:c r="A28" s="10"/>
      <x:c r="B28" s="10"/>
      <x:c r="C28" s="10"/>
      <x:c r="D28" s="10"/>
    </x:row>
    <x:row r="29" ht="26" customHeight="1">
      <x:c r="A29" s="10"/>
      <x:c r="B29" s="10"/>
      <x:c r="C29" s="10"/>
      <x:c r="D29" s="10"/>
    </x:row>
    <x:row r="30" ht="26" customHeight="1">
      <x:c r="A30" s="10"/>
      <x:c r="B30" s="10"/>
      <x:c r="C30" s="10"/>
      <x:c r="D30" s="10"/>
    </x:row>
    <x:row r="31" ht="26" customHeight="1">
      <x:c r="A31" s="10"/>
      <x:c r="B31" s="10"/>
      <x:c r="C31" s="10"/>
      <x:c r="D31" s="10"/>
    </x:row>
    <x:row r="32" ht="26" customHeight="1">
      <x:c r="A32" s="10"/>
      <x:c r="B32" s="10"/>
      <x:c r="C32" s="10"/>
      <x:c r="D32" s="10"/>
    </x:row>
    <x:row r="33" ht="26" customHeight="1">
      <x:c r="A33" s="10"/>
      <x:c r="B33" s="10"/>
      <x:c r="C33" s="10"/>
      <x:c r="D33" s="10"/>
    </x:row>
    <x:row r="34" ht="26" customHeight="1">
      <x:c r="A34" s="10"/>
      <x:c r="B34" s="10"/>
      <x:c r="C34" s="10"/>
      <x:c r="D34" s="10"/>
    </x:row>
    <x:row r="35" ht="26" customHeight="1">
      <x:c r="A35" s="10"/>
      <x:c r="B35" s="10"/>
      <x:c r="C35" s="10"/>
      <x:c r="D35" s="10"/>
    </x:row>
    <x:row r="36" ht="26" customHeight="1">
      <x:c r="A36" s="10"/>
      <x:c r="B36" s="10"/>
      <x:c r="C36" s="10"/>
      <x:c r="D36" s="10"/>
    </x:row>
    <x:row r="37" ht="26" customHeight="1">
      <x:c r="A37" s="10"/>
      <x:c r="B37" s="10"/>
      <x:c r="C37" s="10"/>
      <x:c r="D37" s="10"/>
    </x:row>
    <x:row r="38" ht="26" customHeight="1">
      <x:c r="A38" s="10"/>
      <x:c r="B38" s="10"/>
      <x:c r="C38" s="10"/>
      <x:c r="D38" s="10"/>
    </x:row>
    <x:row r="39" ht="26" customHeight="1">
      <x:c r="A39" s="10"/>
      <x:c r="B39" s="10"/>
      <x:c r="C39" s="10"/>
      <x:c r="D39" s="10"/>
    </x:row>
    <x:row r="40" ht="26" customHeight="1">
      <x:c r="A40" s="10"/>
      <x:c r="B40" s="10"/>
      <x:c r="C40" s="10"/>
      <x:c r="D40" s="10"/>
    </x:row>
  </x:sheetData>
  <x:mergeCells>
    <x:mergeCell ref="A1:D2"/>
    <x:mergeCell ref="A3:D4"/>
    <x:mergeCell ref="A12:D14"/>
    <x:mergeCell ref="A16:D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27.5" hidden="0" customWidth="1"/>
    <x:col min="3" max="3" width="27.5" hidden="0" customWidth="1"/>
    <x:col min="4" max="4" width="11.880000114440918" hidden="0" customWidth="1"/>
    <x:col min="5" max="5" width="11.880000114440918" hidden="0" customWidth="1"/>
    <x:col min="6" max="6" width="33.75" hidden="0" customWidth="1"/>
  </x:cols>
  <x:sheetData>
    <x:row r="1" ht="26" customHeight="1">
      <x:c r="A1" s="14" t="str">
        <x:v>两边都读：固定一个对象，再数对面</x:v>
      </x:c>
      <x:c r="B1" s="14"/>
      <x:c r="C1" s="14"/>
      <x:c r="D1" s="14"/>
      <x:c r="E1" s="14"/>
      <x:c r="F1" s="14"/>
    </x:row>
    <x:row r="2" ht="26" customHeight="1">
      <x:c r="A2" s="14"/>
      <x:c r="B2" s="14"/>
      <x:c r="C2" s="14"/>
      <x:c r="D2" s="14"/>
      <x:c r="E2" s="14"/>
      <x:c r="F2" s="14"/>
    </x:row>
    <x:row r="3" ht="26" customHeight="1">
      <x:c r="A3" s="15" t="str">
        <x:v>数字写在“被数的一类”端；0..* 是零到多，1..* 是至少一。* 不表示必须多个。</x:v>
      </x:c>
      <x:c r="B3" s="15"/>
      <x:c r="C3" s="15"/>
      <x:c r="D3" s="15"/>
      <x:c r="E3" s="15"/>
      <x:c r="F3" s="15"/>
    </x:row>
    <x:row r="4" ht="26" customHeight="1">
      <x:c r="A4" s="15"/>
      <x:c r="B4" s="15"/>
      <x:c r="C4" s="15"/>
      <x:c r="D4" s="15"/>
      <x:c r="E4" s="15"/>
      <x:c r="F4" s="15"/>
    </x:row>
    <x:row r="5" ht="38" customHeight="1">
      <x:c r="A5" s="16" t="str">
        <x:v>题目</x:v>
      </x:c>
      <x:c r="B5" s="16" t="str">
        <x:v>固定一个</x:v>
      </x:c>
      <x:c r="C5" s="16" t="str">
        <x:v>数什么</x:v>
      </x:c>
      <x:c r="D5" s="16" t="str">
        <x:v>最少</x:v>
      </x:c>
      <x:c r="E5" s="16" t="str">
        <x:v>最多</x:v>
      </x:c>
      <x:c r="F5" s="16" t="str">
        <x:v>端点上的标记</x:v>
      </x:c>
    </x:row>
    <x:row r="6" ht="42" customHeight="1">
      <x:c r="A6" s="10" t="str">
        <x:v>1</x:v>
      </x:c>
      <x:c r="B6" s="10" t="str">
        <x:v>Supplier</x:v>
      </x:c>
      <x:c r="C6" s="10" t="str">
        <x:v>Purchase</x:v>
      </x:c>
      <x:c r="D6" s="20" t="n">
        <x:v>0</x:v>
      </x:c>
      <x:c r="E6" s="20" t="str">
        <x:v>*</x:v>
      </x:c>
      <x:c r="F6" s="10" t="str">
        <x:v>Purchase端 0..*</x:v>
      </x:c>
    </x:row>
    <x:row r="7" ht="42" customHeight="1">
      <x:c r="A7" s="10" t="str">
        <x:v>1</x:v>
      </x:c>
      <x:c r="B7" s="10" t="str">
        <x:v>Purchase</x:v>
      </x:c>
      <x:c r="C7" s="10" t="str">
        <x:v>Supplier</x:v>
      </x:c>
      <x:c r="D7" s="20" t="n">
        <x:v>1</x:v>
      </x:c>
      <x:c r="E7" s="20" t="n">
        <x:v>1</x:v>
      </x:c>
      <x:c r="F7" s="10" t="str">
        <x:v>Supplier端 1..1</x:v>
      </x:c>
    </x:row>
    <x:row r="8" ht="42" customHeight="1">
      <x:c r="A8" s="10" t="str">
        <x:v>2</x:v>
      </x:c>
      <x:c r="B8" s="10" t="str">
        <x:v>Purchase</x:v>
      </x:c>
      <x:c r="C8" s="10" t="str">
        <x:v>PurchaseReturn</x:v>
      </x:c>
      <x:c r="D8" s="20" t="n">
        <x:v>0</x:v>
      </x:c>
      <x:c r="E8" s="20" t="str">
        <x:v>*</x:v>
      </x:c>
      <x:c r="F8" s="10" t="str">
        <x:v>PurchaseReturn端 0..*</x:v>
      </x:c>
    </x:row>
    <x:row r="9" ht="42" customHeight="1">
      <x:c r="A9" s="10" t="str">
        <x:v>2</x:v>
      </x:c>
      <x:c r="B9" s="10" t="str">
        <x:v>PurchaseReturn</x:v>
      </x:c>
      <x:c r="C9" s="10" t="str">
        <x:v>Purchase</x:v>
      </x:c>
      <x:c r="D9" s="20" t="n">
        <x:v>1</x:v>
      </x:c>
      <x:c r="E9" s="20" t="str">
        <x:v>*</x:v>
      </x:c>
      <x:c r="F9" s="10" t="str">
        <x:v>Purchase端 1..*</x:v>
      </x:c>
    </x:row>
    <x:row r="10" ht="42" customHeight="1">
      <x:c r="A10" s="10" t="str">
        <x:v>4</x:v>
      </x:c>
      <x:c r="B10" s="10" t="str">
        <x:v>Cashier</x:v>
      </x:c>
      <x:c r="C10" s="10" t="str">
        <x:v>CashReceipt</x:v>
      </x:c>
      <x:c r="D10" s="20" t="n">
        <x:v>0</x:v>
      </x:c>
      <x:c r="E10" s="20" t="str">
        <x:v>*</x:v>
      </x:c>
      <x:c r="F10" s="10" t="str">
        <x:v>CashReceipt端 0..*</x:v>
      </x:c>
    </x:row>
    <x:row r="11" ht="42" customHeight="1">
      <x:c r="A11" s="10" t="str">
        <x:v>4</x:v>
      </x:c>
      <x:c r="B11" s="10" t="str">
        <x:v>CashReceipt</x:v>
      </x:c>
      <x:c r="C11" s="10" t="str">
        <x:v>Cashier</x:v>
      </x:c>
      <x:c r="D11" s="20" t="n">
        <x:v>1</x:v>
      </x:c>
      <x:c r="E11" s="20" t="n">
        <x:v>1</x:v>
      </x:c>
      <x:c r="F11" s="10" t="str">
        <x:v>Cashier端 1..1</x:v>
      </x:c>
    </x:row>
    <x:row r="12" ht="26" customHeight="1">
      <x:c r="A12" s="10"/>
      <x:c r="B12" s="10"/>
      <x:c r="C12" s="10"/>
      <x:c r="D12" s="10"/>
      <x:c r="E12" s="10"/>
      <x:c r="F12" s="10"/>
    </x:row>
    <x:row r="13" ht="26" customHeight="1">
      <x:c r="A13" s="17" t="str">
        <x:v>Q2 分批返回可使同一采购对应多个退货事件；合并退货使一次退货对应多个采购。数量、批次、退货事件和原采购编号不可混为同一个计数单位。</x:v>
      </x:c>
      <x:c r="B13" s="17"/>
      <x:c r="C13" s="17"/>
      <x:c r="D13" s="17"/>
      <x:c r="E13" s="17"/>
      <x:c r="F13" s="17"/>
    </x:row>
    <x:row r="14" ht="26" customHeight="1">
      <x:c r="A14" s="17"/>
      <x:c r="B14" s="17"/>
      <x:c r="C14" s="17"/>
      <x:c r="D14" s="17"/>
      <x:c r="E14" s="17"/>
      <x:c r="F14" s="17"/>
    </x:row>
    <x:row r="15" ht="26" customHeight="1">
      <x:c r="A15" s="17"/>
      <x:c r="B15" s="17"/>
      <x:c r="C15" s="17"/>
      <x:c r="D15" s="17"/>
      <x:c r="E15" s="17"/>
      <x:c r="F15" s="17"/>
    </x:row>
    <x:row r="16" ht="26" customHeight="1">
      <x:c r="A16" s="10"/>
      <x:c r="B16" s="10"/>
      <x:c r="C16" s="10"/>
      <x:c r="D16" s="10"/>
      <x:c r="E16" s="10"/>
      <x:c r="F16" s="10"/>
    </x:row>
    <x:row r="17" ht="26" customHeight="1">
      <x:c r="A17" s="10"/>
      <x:c r="B17" s="10"/>
      <x:c r="C17" s="10"/>
      <x:c r="D17" s="10"/>
      <x:c r="E17" s="10"/>
      <x:c r="F17" s="10"/>
    </x:row>
    <x:row r="18" ht="26" customHeight="1">
      <x:c r="A18" s="10"/>
      <x:c r="B18" s="10"/>
      <x:c r="C18" s="10"/>
      <x:c r="D18" s="10"/>
      <x:c r="E18" s="10"/>
      <x:c r="F18" s="10"/>
    </x:row>
    <x:row r="19" ht="26" customHeight="1">
      <x:c r="A19" s="10"/>
      <x:c r="B19" s="10"/>
      <x:c r="C19" s="10"/>
      <x:c r="D19" s="10"/>
      <x:c r="E19" s="10"/>
      <x:c r="F19" s="10"/>
    </x:row>
    <x:row r="20" ht="26" customHeight="1">
      <x:c r="A20" s="10"/>
      <x:c r="B20" s="10"/>
      <x:c r="C20" s="10"/>
      <x:c r="D20" s="10"/>
      <x:c r="E20" s="10"/>
      <x:c r="F20" s="10"/>
    </x:row>
    <x:row r="21" ht="26" customHeight="1">
      <x:c r="A21" s="10"/>
      <x:c r="B21" s="10"/>
      <x:c r="C21" s="10"/>
      <x:c r="D21" s="10"/>
      <x:c r="E21" s="10"/>
      <x:c r="F21" s="10"/>
    </x:row>
    <x:row r="22" ht="26" customHeight="1">
      <x:c r="A22" s="10"/>
      <x:c r="B22" s="10"/>
      <x:c r="C22" s="10"/>
      <x:c r="D22" s="10"/>
      <x:c r="E22" s="10"/>
      <x:c r="F22" s="10"/>
    </x:row>
    <x:row r="23" ht="26" customHeight="1">
      <x:c r="A23" s="10"/>
      <x:c r="B23" s="10"/>
      <x:c r="C23" s="10"/>
      <x:c r="D23" s="10"/>
      <x:c r="E23" s="10"/>
      <x:c r="F23" s="10"/>
    </x:row>
    <x:row r="24" ht="26" customHeight="1">
      <x:c r="A24" s="10"/>
      <x:c r="B24" s="10"/>
      <x:c r="C24" s="10"/>
      <x:c r="D24" s="10"/>
      <x:c r="E24" s="10"/>
      <x:c r="F24" s="10"/>
    </x:row>
    <x:row r="25" ht="26" customHeight="1">
      <x:c r="A25" s="10"/>
      <x:c r="B25" s="10"/>
      <x:c r="C25" s="10"/>
      <x:c r="D25" s="10"/>
      <x:c r="E25" s="10"/>
      <x:c r="F25" s="10"/>
    </x:row>
    <x:row r="26" ht="26" customHeight="1">
      <x:c r="A26" s="10"/>
      <x:c r="B26" s="10"/>
      <x:c r="C26" s="10"/>
      <x:c r="D26" s="10"/>
      <x:c r="E26" s="10"/>
      <x:c r="F26" s="10"/>
    </x:row>
    <x:row r="27" ht="26" customHeight="1">
      <x:c r="A27" s="10"/>
      <x:c r="B27" s="10"/>
      <x:c r="C27" s="10"/>
      <x:c r="D27" s="10"/>
      <x:c r="E27" s="10"/>
      <x:c r="F27" s="10"/>
    </x:row>
    <x:row r="28" ht="26" customHeight="1">
      <x:c r="A28" s="10"/>
      <x:c r="B28" s="10"/>
      <x:c r="C28" s="10"/>
      <x:c r="D28" s="10"/>
      <x:c r="E28" s="10"/>
      <x:c r="F28" s="10"/>
    </x:row>
    <x:row r="29" ht="26" customHeight="1">
      <x:c r="A29" s="10"/>
      <x:c r="B29" s="10"/>
      <x:c r="C29" s="10"/>
      <x:c r="D29" s="10"/>
      <x:c r="E29" s="10"/>
      <x:c r="F29" s="10"/>
    </x:row>
    <x:row r="30" ht="26" customHeight="1">
      <x:c r="A30" s="10"/>
      <x:c r="B30" s="10"/>
      <x:c r="C30" s="10"/>
      <x:c r="D30" s="10"/>
      <x:c r="E30" s="10"/>
      <x:c r="F30" s="10"/>
    </x:row>
    <x:row r="31" ht="26" customHeight="1">
      <x:c r="A31" s="10"/>
      <x:c r="B31" s="10"/>
      <x:c r="C31" s="10"/>
      <x:c r="D31" s="10"/>
      <x:c r="E31" s="10"/>
      <x:c r="F31" s="10"/>
    </x:row>
    <x:row r="32" ht="26" customHeight="1">
      <x:c r="A32" s="10"/>
      <x:c r="B32" s="10"/>
      <x:c r="C32" s="10"/>
      <x:c r="D32" s="10"/>
      <x:c r="E32" s="10"/>
      <x:c r="F32" s="10"/>
    </x:row>
    <x:row r="33" ht="26" customHeight="1">
      <x:c r="A33" s="10"/>
      <x:c r="B33" s="10"/>
      <x:c r="C33" s="10"/>
      <x:c r="D33" s="10"/>
      <x:c r="E33" s="10"/>
      <x:c r="F33" s="10"/>
    </x:row>
    <x:row r="34" ht="26" customHeight="1">
      <x:c r="A34" s="10"/>
      <x:c r="B34" s="10"/>
      <x:c r="C34" s="10"/>
      <x:c r="D34" s="10"/>
      <x:c r="E34" s="10"/>
      <x:c r="F34" s="10"/>
    </x:row>
    <x:row r="35" ht="26" customHeight="1">
      <x:c r="A35" s="10"/>
      <x:c r="B35" s="10"/>
      <x:c r="C35" s="10"/>
      <x:c r="D35" s="10"/>
      <x:c r="E35" s="10"/>
      <x:c r="F35" s="10"/>
    </x:row>
    <x:row r="36" ht="26" customHeight="1">
      <x:c r="A36" s="10"/>
      <x:c r="B36" s="10"/>
      <x:c r="C36" s="10"/>
      <x:c r="D36" s="10"/>
      <x:c r="E36" s="10"/>
      <x:c r="F36" s="10"/>
    </x:row>
    <x:row r="37" ht="26" customHeight="1">
      <x:c r="A37" s="10"/>
      <x:c r="B37" s="10"/>
      <x:c r="C37" s="10"/>
      <x:c r="D37" s="10"/>
      <x:c r="E37" s="10"/>
      <x:c r="F37" s="10"/>
    </x:row>
    <x:row r="38" ht="26" customHeight="1">
      <x:c r="A38" s="10"/>
      <x:c r="B38" s="10"/>
      <x:c r="C38" s="10"/>
      <x:c r="D38" s="10"/>
      <x:c r="E38" s="10"/>
      <x:c r="F38" s="10"/>
    </x:row>
    <x:row r="39" ht="26" customHeight="1">
      <x:c r="A39" s="10"/>
      <x:c r="B39" s="10"/>
      <x:c r="C39" s="10"/>
      <x:c r="D39" s="10"/>
      <x:c r="E39" s="10"/>
      <x:c r="F39" s="10"/>
    </x:row>
    <x:row r="40" ht="26" customHeight="1">
      <x:c r="A40" s="10"/>
      <x:c r="B40" s="10"/>
      <x:c r="C40" s="10"/>
      <x:c r="D40" s="10"/>
      <x:c r="E40" s="10"/>
      <x:c r="F40" s="10"/>
    </x:row>
  </x:sheetData>
  <x:mergeCells>
    <x:mergeCell ref="A1:F2"/>
    <x:mergeCell ref="A3:F4"/>
    <x:mergeCell ref="A13:F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.630000114440918" hidden="0" customWidth="1"/>
    <x:col min="2" max="2" width="15.630000114440918" hidden="0" customWidth="1"/>
    <x:col min="3" max="3" width="21.8799991607666" hidden="0" customWidth="1"/>
    <x:col min="4" max="4" width="24.3799991607666" hidden="0" customWidth="1"/>
    <x:col min="5" max="5" width="26.25" hidden="0" customWidth="1"/>
    <x:col min="6" max="6" width="20.6299991607666" hidden="0" customWidth="1"/>
  </x:cols>
  <x:sheetData>
    <x:row r="1" ht="26" customHeight="1">
      <x:c r="A1" s="14" t="str">
        <x:v>原表与正确的事实归属</x:v>
      </x:c>
      <x:c r="B1" s="14"/>
      <x:c r="C1" s="14"/>
      <x:c r="D1" s="14"/>
      <x:c r="E1" s="14"/>
      <x:c r="F1" s="14"/>
    </x:row>
    <x:row r="2" ht="26" customHeight="1">
      <x:c r="A2" s="14"/>
      <x:c r="B2" s="14"/>
      <x:c r="C2" s="14"/>
      <x:c r="D2" s="14"/>
      <x:c r="E2" s="14"/>
      <x:c r="F2" s="14"/>
    </x:row>
    <x:row r="3" ht="26" customHeight="1">
      <x:c r="A3" s="15" t="str">
        <x:v>原 CustomerID 的 0 保留；Stephen 的编号仍为空。C123/C124 都保留，不以同名同龄去重。</x:v>
      </x:c>
      <x:c r="B3" s="15"/>
      <x:c r="C3" s="15"/>
      <x:c r="D3" s="15"/>
      <x:c r="E3" s="15"/>
      <x:c r="F3" s="15"/>
    </x:row>
    <x:row r="4" ht="26" customHeight="1">
      <x:c r="A4" s="15"/>
      <x:c r="B4" s="15"/>
      <x:c r="C4" s="15"/>
      <x:c r="D4" s="15"/>
      <x:c r="E4" s="15"/>
      <x:c r="F4" s="15"/>
    </x:row>
    <x:row r="5" ht="38" customHeight="1">
      <x:c r="A5" s="16" t="str">
        <x:v>CustomerID</x:v>
      </x:c>
      <x:c r="B5" s="16" t="str">
        <x:v>CustomerName</x:v>
      </x:c>
      <x:c r="C5" s="16" t="str">
        <x:v>CustomerAddress</x:v>
      </x:c>
      <x:c r="D5" s="16" t="str">
        <x:v>主键检查</x:v>
      </x:c>
      <x:c r="E5" s="10"/>
      <x:c r="F5" s="10"/>
    </x:row>
    <x:row r="6" ht="26" customHeight="1">
      <x:c r="A6" s="21" t="str">
        <x:f>"05233"</x:f>
        <x:v>05233</x:v>
      </x:c>
      <x:c r="B6" s="22" t="str">
        <x:v>Jack</x:v>
      </x:c>
      <x:c r="C6" s="22" t="str">
        <x:v>123 A street</x:v>
      </x:c>
      <x:c r="D6" s="10" t="str">
        <x:f>IF(A6="","缺主键",IF(COUNTIF($A$6:$A$9,A6)&gt;1,"重复主键","非空且唯一"))</x:f>
        <x:v>非空且唯一</x:v>
      </x:c>
      <x:c r="E6" s="10"/>
      <x:c r="F6" s="10"/>
    </x:row>
    <x:row r="7" ht="26" customHeight="1">
      <x:c r="A7" s="21" t="str">
        <x:f>"05234"</x:f>
        <x:v>05234</x:v>
      </x:c>
      <x:c r="B7" s="22" t="str">
        <x:v>Sarah</x:v>
      </x:c>
      <x:c r="C7" s="22" t="str">
        <x:v>343 B street</x:v>
      </x:c>
      <x:c r="D7" s="10" t="str">
        <x:f>IF(A7="","缺主键",IF(COUNTIF($A$6:$A$9,A7)&gt;1,"重复主键","非空且唯一"))</x:f>
        <x:v>非空且唯一</x:v>
      </x:c>
      <x:c r="E7" s="10"/>
      <x:c r="F7" s="10"/>
    </x:row>
    <x:row r="8" ht="26" customHeight="1">
      <x:c r="A8" s="21"/>
      <x:c r="B8" s="22" t="str">
        <x:v>Stephen</x:v>
      </x:c>
      <x:c r="C8" s="22" t="str">
        <x:v>318 C street</x:v>
      </x:c>
      <x:c r="D8" s="10" t="str">
        <x:f>IF(A8="","缺主键",IF(COUNTIF($A$6:$A$9,A8)&gt;1,"重复主键","非空且唯一"))</x:f>
        <x:v>缺主键</x:v>
      </x:c>
      <x:c r="E8" s="10"/>
      <x:c r="F8" s="10"/>
    </x:row>
    <x:row r="9" ht="26" customHeight="1">
      <x:c r="A9" s="21" t="str">
        <x:f>"05235"</x:f>
        <x:v>05235</x:v>
      </x:c>
      <x:c r="B9" s="22" t="str">
        <x:v>Ana</x:v>
      </x:c>
      <x:c r="C9" s="22" t="str">
        <x:v>846 D street</x:v>
      </x:c>
      <x:c r="D9" s="10" t="str">
        <x:f>IF(A9="","缺主键",IF(COUNTIF($A$6:$A$9,A9)&gt;1,"重复主键","非空且唯一"))</x:f>
        <x:v>非空且唯一</x:v>
      </x:c>
      <x:c r="E9" s="10"/>
      <x:c r="F9" s="10"/>
    </x:row>
    <x:row r="10" ht="26" customHeight="1">
      <x:c r="A10" s="10"/>
      <x:c r="B10" s="10"/>
      <x:c r="C10" s="10"/>
      <x:c r="D10" s="10"/>
      <x:c r="E10" s="10"/>
      <x:c r="F10" s="10"/>
    </x:row>
    <x:row r="11" ht="26" customHeight="1">
      <x:c r="A11" s="10"/>
      <x:c r="B11" s="10"/>
      <x:c r="C11" s="10"/>
      <x:c r="D11" s="10"/>
      <x:c r="E11" s="10"/>
      <x:c r="F11" s="10"/>
    </x:row>
    <x:row r="12" ht="26" customHeight="1">
      <x:c r="A12" s="10"/>
      <x:c r="B12" s="10"/>
      <x:c r="C12" s="10"/>
      <x:c r="D12" s="10"/>
      <x:c r="E12" s="10"/>
      <x:c r="F12" s="10"/>
    </x:row>
    <x:row r="13" ht="38" customHeight="1">
      <x:c r="A13" s="16" t="str">
        <x:v>SaleID</x:v>
      </x:c>
      <x:c r="B13" s="16" t="str">
        <x:v>CustomerID</x:v>
      </x:c>
      <x:c r="C13" s="16" t="str">
        <x:v>CustomerName</x:v>
      </x:c>
      <x:c r="D13" s="16" t="str">
        <x:v>CustomerAge</x:v>
      </x:c>
      <x:c r="E13" s="16" t="str">
        <x:v>SaleID 检查</x:v>
      </x:c>
      <x:c r="F13" s="10"/>
    </x:row>
    <x:row r="14" ht="26" customHeight="1">
      <x:c r="A14" s="21" t="str">
        <x:v>45631</x:v>
      </x:c>
      <x:c r="B14" s="21" t="str">
        <x:v>C123</x:v>
      </x:c>
      <x:c r="C14" s="22" t="str">
        <x:v>Andy</x:v>
      </x:c>
      <x:c r="D14" s="23" t="n">
        <x:v>21</x:v>
      </x:c>
      <x:c r="E14" s="10" t="str">
        <x:f>IF(COUNTIF($A$14:$A$17,A14)=1,"唯一","重复")</x:f>
        <x:v>唯一</x:v>
      </x:c>
      <x:c r="F14" s="10"/>
    </x:row>
    <x:row r="15" ht="26" customHeight="1">
      <x:c r="A15" s="21" t="str">
        <x:v>63123</x:v>
      </x:c>
      <x:c r="B15" s="21" t="str">
        <x:v>C124</x:v>
      </x:c>
      <x:c r="C15" s="22" t="str">
        <x:v>Andy</x:v>
      </x:c>
      <x:c r="D15" s="23" t="n">
        <x:v>21</x:v>
      </x:c>
      <x:c r="E15" s="10" t="str">
        <x:f>IF(COUNTIF($A$14:$A$17,A15)=1,"唯一","重复")</x:f>
        <x:v>唯一</x:v>
      </x:c>
      <x:c r="F15" s="10"/>
    </x:row>
    <x:row r="16" ht="26" customHeight="1">
      <x:c r="A16" s="21" t="str">
        <x:v>132123</x:v>
      </x:c>
      <x:c r="B16" s="21" t="str">
        <x:v>C125</x:v>
      </x:c>
      <x:c r="C16" s="22" t="str">
        <x:v>Jennifer</x:v>
      </x:c>
      <x:c r="D16" s="23" t="n">
        <x:v>29</x:v>
      </x:c>
      <x:c r="E16" s="10" t="str">
        <x:f>IF(COUNTIF($A$14:$A$17,A16)=1,"唯一","重复")</x:f>
        <x:v>唯一</x:v>
      </x:c>
      <x:c r="F16" s="10"/>
    </x:row>
    <x:row r="17" ht="26" customHeight="1">
      <x:c r="A17" s="21" t="str">
        <x:v>313213</x:v>
      </x:c>
      <x:c r="B17" s="21" t="str">
        <x:v>C126</x:v>
      </x:c>
      <x:c r="C17" s="22" t="str">
        <x:v>Arlie</x:v>
      </x:c>
      <x:c r="D17" s="23" t="n">
        <x:v>33</x:v>
      </x:c>
      <x:c r="E17" s="10" t="str">
        <x:f>IF(COUNTIF($A$14:$A$17,A17)=1,"唯一","重复")</x:f>
        <x:v>唯一</x:v>
      </x:c>
      <x:c r="F17" s="10"/>
    </x:row>
    <x:row r="18" ht="26" customHeight="1">
      <x:c r="A18" s="10"/>
      <x:c r="B18" s="10"/>
      <x:c r="C18" s="10"/>
      <x:c r="D18" s="10"/>
      <x:c r="E18" s="10"/>
      <x:c r="F18" s="10"/>
    </x:row>
    <x:row r="19" ht="26" customHeight="1">
      <x:c r="A19" s="17" t="str">
        <x:v>当前四个 CustomerID 都不同；两行 Andy/21 不是同一个键值—属性值事实。客户可多次销售时，销售表反复存客户属性会产生冗余/更新风险，分表是按正常业务依赖的设计建议。</x:v>
      </x:c>
      <x:c r="B19" s="17"/>
      <x:c r="C19" s="17"/>
      <x:c r="D19" s="17"/>
      <x:c r="E19" s="17"/>
      <x:c r="F19" s="17"/>
    </x:row>
    <x:row r="20" ht="26" customHeight="1">
      <x:c r="A20" s="17"/>
      <x:c r="B20" s="17"/>
      <x:c r="C20" s="17"/>
      <x:c r="D20" s="17"/>
      <x:c r="E20" s="17"/>
      <x:c r="F20" s="17"/>
    </x:row>
    <x:row r="21" ht="26" customHeight="1">
      <x:c r="A21" s="17"/>
      <x:c r="B21" s="17"/>
      <x:c r="C21" s="17"/>
      <x:c r="D21" s="17"/>
      <x:c r="E21" s="17"/>
      <x:c r="F21" s="17"/>
    </x:row>
    <x:row r="22" ht="26" customHeight="1">
      <x:c r="A22" s="10"/>
      <x:c r="B22" s="10"/>
      <x:c r="C22" s="10"/>
      <x:c r="D22" s="10"/>
      <x:c r="E22" s="10"/>
      <x:c r="F22" s="10"/>
    </x:row>
    <x:row r="23" ht="42" customHeight="1">
      <x:c r="A23" s="16" t="str">
        <x:v>CustomerID (PK)</x:v>
      </x:c>
      <x:c r="B23" s="16" t="str">
        <x:v>CustomerName</x:v>
      </x:c>
      <x:c r="C23" s="16" t="str">
        <x:v>CustomerAge</x:v>
      </x:c>
      <x:c r="D23" s="16"/>
      <x:c r="E23" s="16" t="str">
        <x:v>SaleID (PK)</x:v>
      </x:c>
      <x:c r="F23" s="16" t="str">
        <x:v>CustomerID (FK)</x:v>
      </x:c>
    </x:row>
    <x:row r="24" ht="26" customHeight="1">
      <x:c r="A24" s="19" t="str">
        <x:v>C123</x:v>
      </x:c>
      <x:c r="B24" s="10" t="str">
        <x:v>Andy</x:v>
      </x:c>
      <x:c r="C24" s="10" t="n">
        <x:v>21</x:v>
      </x:c>
      <x:c r="D24" s="10"/>
      <x:c r="E24" s="19" t="str">
        <x:v>45631</x:v>
      </x:c>
      <x:c r="F24" s="19" t="str">
        <x:v>C123</x:v>
      </x:c>
    </x:row>
    <x:row r="25" ht="26" customHeight="1">
      <x:c r="A25" s="19" t="str">
        <x:v>C124</x:v>
      </x:c>
      <x:c r="B25" s="10" t="str">
        <x:v>Andy</x:v>
      </x:c>
      <x:c r="C25" s="10" t="n">
        <x:v>21</x:v>
      </x:c>
      <x:c r="D25" s="10"/>
      <x:c r="E25" s="19" t="str">
        <x:v>63123</x:v>
      </x:c>
      <x:c r="F25" s="19" t="str">
        <x:v>C124</x:v>
      </x:c>
    </x:row>
    <x:row r="26" ht="26" customHeight="1">
      <x:c r="A26" s="19" t="str">
        <x:v>C125</x:v>
      </x:c>
      <x:c r="B26" s="10" t="str">
        <x:v>Jennifer</x:v>
      </x:c>
      <x:c r="C26" s="10" t="n">
        <x:v>29</x:v>
      </x:c>
      <x:c r="D26" s="10"/>
      <x:c r="E26" s="19" t="str">
        <x:v>132123</x:v>
      </x:c>
      <x:c r="F26" s="19" t="str">
        <x:v>C125</x:v>
      </x:c>
    </x:row>
    <x:row r="27" ht="26" customHeight="1">
      <x:c r="A27" s="19" t="str">
        <x:v>C126</x:v>
      </x:c>
      <x:c r="B27" s="10" t="str">
        <x:v>Arlie</x:v>
      </x:c>
      <x:c r="C27" s="10" t="n">
        <x:v>33</x:v>
      </x:c>
      <x:c r="D27" s="10"/>
      <x:c r="E27" s="19" t="str">
        <x:v>313213</x:v>
      </x:c>
      <x:c r="F27" s="19" t="str">
        <x:v>C126</x:v>
      </x:c>
    </x:row>
    <x:row r="28" ht="26" customHeight="1">
      <x:c r="A28" s="10"/>
      <x:c r="B28" s="10"/>
      <x:c r="C28" s="10"/>
      <x:c r="D28" s="10"/>
      <x:c r="E28" s="10"/>
      <x:c r="F28" s="10"/>
    </x:row>
    <x:row r="29" ht="26" customHeight="1">
      <x:c r="A29" s="10"/>
      <x:c r="B29" s="10"/>
      <x:c r="C29" s="10"/>
      <x:c r="D29" s="10"/>
      <x:c r="E29" s="10"/>
      <x:c r="F29" s="10"/>
    </x:row>
    <x:row r="30" ht="26" customHeight="1">
      <x:c r="A30" s="10"/>
      <x:c r="B30" s="10"/>
      <x:c r="C30" s="10"/>
      <x:c r="D30" s="10"/>
      <x:c r="E30" s="10"/>
      <x:c r="F30" s="10"/>
    </x:row>
    <x:row r="31" ht="26" customHeight="1">
      <x:c r="A31" s="10"/>
      <x:c r="B31" s="10"/>
      <x:c r="C31" s="10"/>
      <x:c r="D31" s="10"/>
      <x:c r="E31" s="10"/>
      <x:c r="F31" s="10"/>
    </x:row>
    <x:row r="32" ht="26" customHeight="1">
      <x:c r="A32" s="10"/>
      <x:c r="B32" s="10"/>
      <x:c r="C32" s="10"/>
      <x:c r="D32" s="10"/>
      <x:c r="E32" s="10"/>
      <x:c r="F32" s="10"/>
    </x:row>
    <x:row r="33" ht="26" customHeight="1">
      <x:c r="A33" s="10"/>
      <x:c r="B33" s="10"/>
      <x:c r="C33" s="10"/>
      <x:c r="D33" s="10"/>
      <x:c r="E33" s="10"/>
      <x:c r="F33" s="10"/>
    </x:row>
    <x:row r="34" ht="26" customHeight="1">
      <x:c r="A34" s="10"/>
      <x:c r="B34" s="10"/>
      <x:c r="C34" s="10"/>
      <x:c r="D34" s="10"/>
      <x:c r="E34" s="10"/>
      <x:c r="F34" s="10"/>
    </x:row>
    <x:row r="35" ht="26" customHeight="1">
      <x:c r="A35" s="10"/>
      <x:c r="B35" s="10"/>
      <x:c r="C35" s="10"/>
      <x:c r="D35" s="10"/>
      <x:c r="E35" s="10"/>
      <x:c r="F35" s="10"/>
    </x:row>
    <x:row r="36" ht="26" customHeight="1">
      <x:c r="A36" s="10"/>
      <x:c r="B36" s="10"/>
      <x:c r="C36" s="10"/>
      <x:c r="D36" s="10"/>
      <x:c r="E36" s="10"/>
      <x:c r="F36" s="10"/>
    </x:row>
    <x:row r="37" ht="26" customHeight="1">
      <x:c r="A37" s="10"/>
      <x:c r="B37" s="10"/>
      <x:c r="C37" s="10"/>
      <x:c r="D37" s="10"/>
      <x:c r="E37" s="10"/>
      <x:c r="F37" s="10"/>
    </x:row>
    <x:row r="38" ht="26" customHeight="1">
      <x:c r="A38" s="10"/>
      <x:c r="B38" s="10"/>
      <x:c r="C38" s="10"/>
      <x:c r="D38" s="10"/>
      <x:c r="E38" s="10"/>
      <x:c r="F38" s="10"/>
    </x:row>
    <x:row r="39" ht="26" customHeight="1">
      <x:c r="A39" s="10"/>
      <x:c r="B39" s="10"/>
      <x:c r="C39" s="10"/>
      <x:c r="D39" s="10"/>
      <x:c r="E39" s="10"/>
      <x:c r="F39" s="10"/>
    </x:row>
    <x:row r="40" ht="26" customHeight="1">
      <x:c r="A40" s="10"/>
      <x:c r="B40" s="10"/>
      <x:c r="C40" s="10"/>
      <x:c r="D40" s="10"/>
      <x:c r="E40" s="10"/>
      <x:c r="F40" s="10"/>
    </x:row>
  </x:sheetData>
  <x:mergeCells>
    <x:mergeCell ref="A1:F2"/>
    <x:mergeCell ref="A3:F4"/>
    <x:mergeCell ref="A19:F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.380000114440918" hidden="0" customWidth="1"/>
    <x:col min="2" max="2" width="13.130000114440918" hidden="0" customWidth="1"/>
    <x:col min="3" max="3" width="15.630000114440918" hidden="0" customWidth="1"/>
    <x:col min="4" max="4" width="18.1299991607666" hidden="0" customWidth="1"/>
    <x:col min="5" max="5" width="3.130000114440918" hidden="0" customWidth="1"/>
    <x:col min="6" max="6" width="12.5" hidden="0" customWidth="1"/>
    <x:col min="7" max="7" width="15.630000114440918" hidden="0" customWidth="1"/>
    <x:col min="8" max="8" width="14.380000114440918" hidden="0" customWidth="1"/>
    <x:col min="9" max="9" width="25" hidden="0" customWidth="1"/>
  </x:cols>
  <x:sheetData>
    <x:row r="1" ht="26" customHeight="1">
      <x:c r="A1" s="14" t="str">
        <x:v>正确关系表｜一名收银员可以多笔收款</x:v>
      </x:c>
      <x:c r="B1" s="14"/>
      <x:c r="C1" s="14"/>
      <x:c r="D1" s="14"/>
      <x:c r="E1" s="14"/>
      <x:c r="F1" s="14"/>
      <x:c r="G1" s="14"/>
      <x:c r="H1" s="14"/>
      <x:c r="I1" s="14"/>
    </x:row>
    <x:row r="2" ht="26" customHeight="1">
      <x:c r="A2" s="14"/>
      <x:c r="B2" s="14"/>
      <x:c r="C2" s="14"/>
      <x:c r="D2" s="14"/>
      <x:c r="E2" s="14"/>
      <x:c r="F2" s="14"/>
      <x:c r="G2" s="14"/>
      <x:c r="H2" s="14"/>
      <x:c r="I2" s="14"/>
    </x:row>
    <x:row r="3" ht="26" customHeight="1">
      <x:c r="A3" s="15" t="str">
        <x:v>A/B与F/G/H是实际存储字段；C/D/I为查询公式列。Amount 未给币种，不标 HK$。</x:v>
      </x:c>
      <x:c r="B3" s="15"/>
      <x:c r="C3" s="15"/>
      <x:c r="D3" s="15"/>
      <x:c r="E3" s="15"/>
      <x:c r="F3" s="15"/>
      <x:c r="G3" s="15"/>
      <x:c r="H3" s="15"/>
      <x:c r="I3" s="15"/>
    </x:row>
    <x:row r="4" ht="26" customHeight="1">
      <x:c r="A4" s="15"/>
      <x:c r="B4" s="15"/>
      <x:c r="C4" s="15"/>
      <x:c r="D4" s="15"/>
      <x:c r="E4" s="15"/>
      <x:c r="F4" s="15"/>
      <x:c r="G4" s="15"/>
      <x:c r="H4" s="15"/>
      <x:c r="I4" s="15"/>
    </x:row>
    <x:row r="5" ht="44" customHeight="1">
      <x:c r="A5" s="16" t="str">
        <x:v>Cashier# (PK)</x:v>
      </x:c>
      <x:c r="B5" s="16" t="str">
        <x:v>Name</x:v>
      </x:c>
      <x:c r="C5" s="16" t="str">
        <x:v>收款笔数</x:v>
      </x:c>
      <x:c r="D5" s="16" t="str">
        <x:v>收款金额（查询）</x:v>
      </x:c>
      <x:c r="E5" s="16"/>
      <x:c r="F5" s="16" t="str">
        <x:v>CashR# (PK)</x:v>
      </x:c>
      <x:c r="G5" s="16" t="str">
        <x:v>Amount</x:v>
      </x:c>
      <x:c r="H5" s="16" t="str">
        <x:v>Cashier# (FK)</x:v>
      </x:c>
      <x:c r="I5" s="16" t="str">
        <x:v>Name（查询，不存）</x:v>
      </x:c>
    </x:row>
    <x:row r="6" ht="26" customHeight="1">
      <x:c r="A6" s="21" t="str">
        <x:v>C1</x:v>
      </x:c>
      <x:c r="B6" s="22" t="str">
        <x:v>F</x:v>
      </x:c>
      <x:c r="C6" s="10" t="n">
        <x:f>COUNTIF($H$6:$H$9,A6)</x:f>
        <x:v>2</x:v>
      </x:c>
      <x:c r="D6" s="10" t="n">
        <x:f>SUMIF($H$6:$H$9,A6,$G$6:$G$9)</x:f>
        <x:v>500</x:v>
      </x:c>
      <x:c r="E6" s="10"/>
      <x:c r="F6" s="21" t="str">
        <x:v>1</x:v>
      </x:c>
      <x:c r="G6" s="22" t="n">
        <x:v>200</x:v>
      </x:c>
      <x:c r="H6" s="21" t="str">
        <x:v>C1</x:v>
      </x:c>
      <x:c r="I6" s="10" t="str">
        <x:f>IFERROR(VLOOKUP(H6,$A$6:$B$10,2,FALSE),"未知编号")</x:f>
        <x:v>F</x:v>
      </x:c>
    </x:row>
    <x:row r="7" ht="26" customHeight="1">
      <x:c r="A7" s="21" t="str">
        <x:v>C2</x:v>
      </x:c>
      <x:c r="B7" s="22" t="str">
        <x:v>G</x:v>
      </x:c>
      <x:c r="C7" s="10" t="n">
        <x:f>COUNTIF($H$6:$H$9,A7)</x:f>
        <x:v>0</x:v>
      </x:c>
      <x:c r="D7" s="10" t="n">
        <x:f>SUMIF($H$6:$H$9,A7,$G$6:$G$9)</x:f>
        <x:v>0</x:v>
      </x:c>
      <x:c r="E7" s="10"/>
      <x:c r="F7" s="21" t="str">
        <x:v>2</x:v>
      </x:c>
      <x:c r="G7" s="22" t="n">
        <x:v>100</x:v>
      </x:c>
      <x:c r="H7" s="21" t="str">
        <x:v>C5</x:v>
      </x:c>
      <x:c r="I7" s="10" t="str">
        <x:f>IFERROR(VLOOKUP(H7,$A$6:$B$10,2,FALSE),"未知编号")</x:f>
        <x:v>J</x:v>
      </x:c>
    </x:row>
    <x:row r="8" ht="26" customHeight="1">
      <x:c r="A8" s="21" t="str">
        <x:v>C3</x:v>
      </x:c>
      <x:c r="B8" s="22" t="str">
        <x:v>H</x:v>
      </x:c>
      <x:c r="C8" s="10" t="n">
        <x:f>COUNTIF($H$6:$H$9,A8)</x:f>
        <x:v>0</x:v>
      </x:c>
      <x:c r="D8" s="10" t="n">
        <x:f>SUMIF($H$6:$H$9,A8,$G$6:$G$9)</x:f>
        <x:v>0</x:v>
      </x:c>
      <x:c r="E8" s="10"/>
      <x:c r="F8" s="21" t="str">
        <x:v>3</x:v>
      </x:c>
      <x:c r="G8" s="22" t="n">
        <x:v>300</x:v>
      </x:c>
      <x:c r="H8" s="21" t="str">
        <x:v>C1</x:v>
      </x:c>
      <x:c r="I8" s="10" t="str">
        <x:f>IFERROR(VLOOKUP(H8,$A$6:$B$10,2,FALSE),"未知编号")</x:f>
        <x:v>F</x:v>
      </x:c>
    </x:row>
    <x:row r="9" ht="26" customHeight="1">
      <x:c r="A9" s="21" t="str">
        <x:v>C4</x:v>
      </x:c>
      <x:c r="B9" s="22" t="str">
        <x:v>I</x:v>
      </x:c>
      <x:c r="C9" s="10" t="n">
        <x:f>COUNTIF($H$6:$H$9,A9)</x:f>
        <x:v>0</x:v>
      </x:c>
      <x:c r="D9" s="10" t="n">
        <x:f>SUMIF($H$6:$H$9,A9,$G$6:$G$9)</x:f>
        <x:v>0</x:v>
      </x:c>
      <x:c r="E9" s="10"/>
      <x:c r="F9" s="21" t="str">
        <x:v>4</x:v>
      </x:c>
      <x:c r="G9" s="22" t="n">
        <x:v>400</x:v>
      </x:c>
      <x:c r="H9" s="21" t="str">
        <x:v>C5</x:v>
      </x:c>
      <x:c r="I9" s="10" t="str">
        <x:f>IFERROR(VLOOKUP(H9,$A$6:$B$10,2,FALSE),"未知编号")</x:f>
        <x:v>J</x:v>
      </x:c>
    </x:row>
    <x:row r="10" ht="26" customHeight="1">
      <x:c r="A10" s="21" t="str">
        <x:v>C5</x:v>
      </x:c>
      <x:c r="B10" s="22" t="str">
        <x:v>J</x:v>
      </x:c>
      <x:c r="C10" s="10" t="n">
        <x:f>COUNTIF($H$6:$H$9,A10)</x:f>
        <x:v>2</x:v>
      </x:c>
      <x:c r="D10" s="10" t="n">
        <x:f>SUMIF($H$6:$H$9,A10,$G$6:$G$9)</x:f>
        <x:v>500</x:v>
      </x:c>
      <x:c r="E10" s="10"/>
      <x:c r="F10" s="10"/>
      <x:c r="G10" s="10"/>
      <x:c r="H10" s="10"/>
      <x:c r="I10" s="10"/>
    </x:row>
    <x:row r="11" ht="26" customHeight="1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ht="26" customHeight="1">
      <x:c r="A12" s="10" t="str">
        <x:v>查询总额</x:v>
      </x:c>
      <x:c r="B12" s="10"/>
      <x:c r="C12" s="10"/>
      <x:c r="D12" s="10" t="n">
        <x:f>SUM(D6:D10)</x:f>
        <x:v>1000</x:v>
      </x:c>
      <x:c r="E12" s="10"/>
      <x:c r="F12" s="10" t="str">
        <x:v>原表总额</x:v>
      </x:c>
      <x:c r="G12" s="10" t="n">
        <x:f>SUM(G6:G9)</x:f>
        <x:v>1000</x:v>
      </x:c>
      <x:c r="H12" s="10"/>
      <x:c r="I12" s="10"/>
    </x:row>
    <x:row r="13" ht="26" customHeight="1">
      <x:c r="A13" s="10"/>
      <x:c r="B13" s="10"/>
      <x:c r="C13" s="10"/>
      <x:c r="D13" s="10"/>
      <x:c r="E13" s="10"/>
      <x:c r="F13" s="10"/>
      <x:c r="G13" s="10"/>
      <x:c r="H13" s="10"/>
      <x:c r="I13" s="10"/>
    </x:row>
    <x:row r="14" ht="26" customHeight="1">
      <x:c r="A14" s="10"/>
      <x:c r="B14" s="10"/>
      <x:c r="C14" s="10"/>
      <x:c r="D14" s="10"/>
      <x:c r="E14" s="10"/>
      <x:c r="F14" s="10"/>
      <x:c r="G14" s="10"/>
      <x:c r="H14" s="10"/>
      <x:c r="I14" s="10"/>
    </x:row>
    <x:row r="15" ht="26" customHeight="1">
      <x:c r="A15" s="17" t="str">
        <x:v>F 的原键是 C1，J 的原键是 C5。G/H/I 没有收款也保留。CashReceipt.Cashier# 要 NOT NULL + FK，但不能 UNIQUE；在 Cashier 表增加“1,3”多值单元格或为每笔收款重复人员信息都不是正确转换。</x:v>
      </x:c>
      <x:c r="B15" s="17"/>
      <x:c r="C15" s="17"/>
      <x:c r="D15" s="17"/>
      <x:c r="E15" s="17"/>
      <x:c r="F15" s="17"/>
      <x:c r="G15" s="17"/>
      <x:c r="H15" s="17"/>
      <x:c r="I15" s="17"/>
    </x:row>
    <x:row r="16" ht="26" customHeight="1">
      <x:c r="A16" s="17"/>
      <x:c r="B16" s="17"/>
      <x:c r="C16" s="17"/>
      <x:c r="D16" s="17"/>
      <x:c r="E16" s="17"/>
      <x:c r="F16" s="17"/>
      <x:c r="G16" s="17"/>
      <x:c r="H16" s="17"/>
      <x:c r="I16" s="17"/>
    </x:row>
    <x:row r="17" ht="26" customHeight="1">
      <x:c r="A17" s="17"/>
      <x:c r="B17" s="17"/>
      <x:c r="C17" s="17"/>
      <x:c r="D17" s="17"/>
      <x:c r="E17" s="17"/>
      <x:c r="F17" s="17"/>
      <x:c r="G17" s="17"/>
      <x:c r="H17" s="17"/>
      <x:c r="I17" s="17"/>
    </x:row>
    <x:row r="18" ht="26" customHeight="1">
      <x:c r="A18" s="10"/>
      <x:c r="B18" s="10"/>
      <x:c r="C18" s="10"/>
      <x:c r="D18" s="10"/>
      <x:c r="E18" s="10"/>
      <x:c r="F18" s="10"/>
      <x:c r="G18" s="10"/>
      <x:c r="H18" s="10"/>
      <x:c r="I18" s="10"/>
    </x:row>
    <x:row r="19" ht="26" customHeight="1">
      <x:c r="A19" s="10"/>
      <x:c r="B19" s="10"/>
      <x:c r="C19" s="10"/>
      <x:c r="D19" s="10"/>
      <x:c r="E19" s="10"/>
      <x:c r="F19" s="10"/>
      <x:c r="G19" s="10"/>
      <x:c r="H19" s="10"/>
      <x:c r="I19" s="10"/>
    </x:row>
    <x:row r="20" ht="26" customHeight="1">
      <x:c r="A20" s="10"/>
      <x:c r="B20" s="10"/>
      <x:c r="C20" s="10"/>
      <x:c r="D20" s="10"/>
      <x:c r="E20" s="10"/>
      <x:c r="F20" s="10"/>
      <x:c r="G20" s="10"/>
      <x:c r="H20" s="10"/>
      <x:c r="I20" s="10"/>
    </x:row>
    <x:row r="21" ht="26" customHeight="1">
      <x:c r="A21" s="10"/>
      <x:c r="B21" s="10"/>
      <x:c r="C21" s="10"/>
      <x:c r="D21" s="10"/>
      <x:c r="E21" s="10"/>
      <x:c r="F21" s="10"/>
      <x:c r="G21" s="10"/>
      <x:c r="H21" s="10"/>
      <x:c r="I21" s="10"/>
    </x:row>
    <x:row r="22" ht="26" customHeight="1">
      <x:c r="A22" s="10"/>
      <x:c r="B22" s="10"/>
      <x:c r="C22" s="10"/>
      <x:c r="D22" s="10"/>
      <x:c r="E22" s="10"/>
      <x:c r="F22" s="10"/>
      <x:c r="G22" s="10"/>
      <x:c r="H22" s="10"/>
      <x:c r="I22" s="10"/>
    </x:row>
    <x:row r="23" ht="26" customHeight="1">
      <x:c r="A23" s="10"/>
      <x:c r="B23" s="10"/>
      <x:c r="C23" s="10"/>
      <x:c r="D23" s="10"/>
      <x:c r="E23" s="10"/>
      <x:c r="F23" s="10"/>
      <x:c r="G23" s="10"/>
      <x:c r="H23" s="10"/>
      <x:c r="I23" s="10"/>
    </x:row>
    <x:row r="24" ht="26" customHeight="1">
      <x:c r="A24" s="10"/>
      <x:c r="B24" s="10"/>
      <x:c r="C24" s="10"/>
      <x:c r="D24" s="10"/>
      <x:c r="E24" s="10"/>
      <x:c r="F24" s="10"/>
      <x:c r="G24" s="10"/>
      <x:c r="H24" s="10"/>
      <x:c r="I24" s="10"/>
    </x:row>
    <x:row r="25" ht="26" customHeight="1">
      <x:c r="A25" s="10"/>
      <x:c r="B25" s="10"/>
      <x:c r="C25" s="10"/>
      <x:c r="D25" s="10"/>
      <x:c r="E25" s="10"/>
      <x:c r="F25" s="10"/>
      <x:c r="G25" s="10"/>
      <x:c r="H25" s="10"/>
      <x:c r="I25" s="10"/>
    </x:row>
    <x:row r="26" ht="26" customHeight="1">
      <x:c r="A26" s="10"/>
      <x:c r="B26" s="10"/>
      <x:c r="C26" s="10"/>
      <x:c r="D26" s="10"/>
      <x:c r="E26" s="10"/>
      <x:c r="F26" s="10"/>
      <x:c r="G26" s="10"/>
      <x:c r="H26" s="10"/>
      <x:c r="I26" s="10"/>
    </x:row>
    <x:row r="27" ht="26" customHeight="1">
      <x:c r="A27" s="10"/>
      <x:c r="B27" s="10"/>
      <x:c r="C27" s="10"/>
      <x:c r="D27" s="10"/>
      <x:c r="E27" s="10"/>
      <x:c r="F27" s="10"/>
      <x:c r="G27" s="10"/>
      <x:c r="H27" s="10"/>
      <x:c r="I27" s="10"/>
    </x:row>
    <x:row r="28" ht="26" customHeight="1">
      <x:c r="A28" s="10"/>
      <x:c r="B28" s="10"/>
      <x:c r="C28" s="10"/>
      <x:c r="D28" s="10"/>
      <x:c r="E28" s="10"/>
      <x:c r="F28" s="10"/>
      <x:c r="G28" s="10"/>
      <x:c r="H28" s="10"/>
      <x:c r="I28" s="10"/>
    </x:row>
    <x:row r="29" ht="26" customHeight="1">
      <x:c r="A29" s="10"/>
      <x:c r="B29" s="10"/>
      <x:c r="C29" s="10"/>
      <x:c r="D29" s="10"/>
      <x:c r="E29" s="10"/>
      <x:c r="F29" s="10"/>
      <x:c r="G29" s="10"/>
      <x:c r="H29" s="10"/>
      <x:c r="I29" s="10"/>
    </x:row>
    <x:row r="30" ht="26" customHeight="1">
      <x:c r="A30" s="10"/>
      <x:c r="B30" s="10"/>
      <x:c r="C30" s="10"/>
      <x:c r="D30" s="10"/>
      <x:c r="E30" s="10"/>
      <x:c r="F30" s="10"/>
      <x:c r="G30" s="10"/>
      <x:c r="H30" s="10"/>
      <x:c r="I30" s="10"/>
    </x:row>
    <x:row r="31" ht="26" customHeight="1">
      <x:c r="A31" s="10"/>
      <x:c r="B31" s="10"/>
      <x:c r="C31" s="10"/>
      <x:c r="D31" s="10"/>
      <x:c r="E31" s="10"/>
      <x:c r="F31" s="10"/>
      <x:c r="G31" s="10"/>
      <x:c r="H31" s="10"/>
      <x:c r="I31" s="10"/>
    </x:row>
    <x:row r="32" ht="26" customHeight="1">
      <x:c r="A32" s="10"/>
      <x:c r="B32" s="10"/>
      <x:c r="C32" s="10"/>
      <x:c r="D32" s="10"/>
      <x:c r="E32" s="10"/>
      <x:c r="F32" s="10"/>
      <x:c r="G32" s="10"/>
      <x:c r="H32" s="10"/>
      <x:c r="I32" s="10"/>
    </x:row>
    <x:row r="33" ht="26" customHeight="1">
      <x:c r="A33" s="10"/>
      <x:c r="B33" s="10"/>
      <x:c r="C33" s="10"/>
      <x:c r="D33" s="10"/>
      <x:c r="E33" s="10"/>
      <x:c r="F33" s="10"/>
      <x:c r="G33" s="10"/>
      <x:c r="H33" s="10"/>
      <x:c r="I33" s="10"/>
    </x:row>
    <x:row r="34" ht="26" customHeight="1">
      <x:c r="A34" s="10"/>
      <x:c r="B34" s="10"/>
      <x:c r="C34" s="10"/>
      <x:c r="D34" s="10"/>
      <x:c r="E34" s="10"/>
      <x:c r="F34" s="10"/>
      <x:c r="G34" s="10"/>
      <x:c r="H34" s="10"/>
      <x:c r="I34" s="10"/>
    </x:row>
    <x:row r="35" ht="26" customHeight="1">
      <x:c r="A35" s="10"/>
      <x:c r="B35" s="10"/>
      <x:c r="C35" s="10"/>
      <x:c r="D35" s="10"/>
      <x:c r="E35" s="10"/>
      <x:c r="F35" s="10"/>
      <x:c r="G35" s="10"/>
      <x:c r="H35" s="10"/>
      <x:c r="I35" s="10"/>
    </x:row>
    <x:row r="36" ht="26" customHeight="1">
      <x:c r="A36" s="10"/>
      <x:c r="B36" s="10"/>
      <x:c r="C36" s="10"/>
      <x:c r="D36" s="10"/>
      <x:c r="E36" s="10"/>
      <x:c r="F36" s="10"/>
      <x:c r="G36" s="10"/>
      <x:c r="H36" s="10"/>
      <x:c r="I36" s="10"/>
    </x:row>
    <x:row r="37" ht="26" customHeight="1">
      <x:c r="A37" s="10"/>
      <x:c r="B37" s="10"/>
      <x:c r="C37" s="10"/>
      <x:c r="D37" s="10"/>
      <x:c r="E37" s="10"/>
      <x:c r="F37" s="10"/>
      <x:c r="G37" s="10"/>
      <x:c r="H37" s="10"/>
      <x:c r="I37" s="10"/>
    </x:row>
    <x:row r="38" ht="26" customHeight="1">
      <x:c r="A38" s="10"/>
      <x:c r="B38" s="10"/>
      <x:c r="C38" s="10"/>
      <x:c r="D38" s="10"/>
      <x:c r="E38" s="10"/>
      <x:c r="F38" s="10"/>
      <x:c r="G38" s="10"/>
      <x:c r="H38" s="10"/>
      <x:c r="I38" s="10"/>
    </x:row>
    <x:row r="39" ht="26" customHeight="1">
      <x:c r="A39" s="10"/>
      <x:c r="B39" s="10"/>
      <x:c r="C39" s="10"/>
      <x:c r="D39" s="10"/>
      <x:c r="E39" s="10"/>
      <x:c r="F39" s="10"/>
      <x:c r="G39" s="10"/>
      <x:c r="H39" s="10"/>
      <x:c r="I39" s="10"/>
    </x:row>
    <x:row r="40" ht="26" customHeight="1">
      <x:c r="A40" s="10"/>
      <x:c r="B40" s="10"/>
      <x:c r="C40" s="10"/>
      <x:c r="D40" s="10"/>
      <x:c r="E40" s="10"/>
      <x:c r="F40" s="10"/>
      <x:c r="G40" s="10"/>
      <x:c r="H40" s="10"/>
      <x:c r="I40" s="10"/>
    </x:row>
  </x:sheetData>
  <x:mergeCells>
    <x:mergeCell ref="A1:I2"/>
    <x:mergeCell ref="A3:I4"/>
    <x:mergeCell ref="A12:C12"/>
    <x:mergeCell ref="A15:I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3.75" hidden="0" customWidth="1"/>
    <x:col min="2" max="2" width="15" hidden="0" customWidth="1"/>
    <x:col min="3" max="3" width="16.25" hidden="0" customWidth="1"/>
    <x:col min="4" max="4" width="78.75" hidden="0" customWidth="1"/>
  </x:cols>
  <x:sheetData>
    <x:row r="1" ht="26" customHeight="1">
      <x:c r="A1" s="14" t="str">
        <x:v>核对值与未核的来源边界</x:v>
      </x:c>
      <x:c r="B1" s="14"/>
      <x:c r="C1" s="14"/>
      <x:c r="D1" s="14"/>
    </x:row>
    <x:row r="2" ht="26" customHeight="1">
      <x:c r="A2" s="14"/>
      <x:c r="B2" s="14"/>
      <x:c r="C2" s="14"/>
      <x:c r="D2" s="14"/>
    </x:row>
    <x:row r="3" ht="26" customHeight="1">
      <x:c r="A3" s="15" t="str">
        <x:v>动态核对来自其他页的输入；SQL 约束实验已运行12项。通过核对不等于已获得官方评分答案。</x:v>
      </x:c>
      <x:c r="B3" s="15"/>
      <x:c r="C3" s="15"/>
      <x:c r="D3" s="15"/>
    </x:row>
    <x:row r="4" ht="26" customHeight="1">
      <x:c r="A4" s="15"/>
      <x:c r="B4" s="15"/>
      <x:c r="C4" s="15"/>
      <x:c r="D4" s="15"/>
    </x:row>
    <x:row r="5" ht="38" customHeight="1">
      <x:c r="A5" s="16" t="str">
        <x:v>核对项</x:v>
      </x:c>
      <x:c r="B5" s="16" t="str">
        <x:v>计算值</x:v>
      </x:c>
      <x:c r="C5" s="16" t="str">
        <x:v>预期</x:v>
      </x:c>
      <x:c r="D5" s="16" t="str">
        <x:v>解释</x:v>
      </x:c>
    </x:row>
    <x:row r="6" ht="47" customHeight="1">
      <x:c r="A6" s="10" t="str">
        <x:v>Q3a空主键行数</x:v>
      </x:c>
      <x:c r="B6" s="24" t="n">
        <x:f>COUNTBLANK('Q3原表与拆分'!A6:A9)</x:f>
        <x:v>1</x:v>
      </x:c>
      <x:c r="C6" s="10" t="n">
        <x:v>1</x:v>
      </x:c>
      <x:c r="D6" s="10" t="str">
        <x:v>应检出 Stephen 这一行；不能自行填一个编号。</x:v>
      </x:c>
    </x:row>
    <x:row r="7" ht="47" customHeight="1">
      <x:c r="A7" s="10" t="str">
        <x:v>Andy/21出现次数</x:v>
      </x:c>
      <x:c r="B7" s="24" t="n">
        <x:f>COUNTIFS('Q3原表与拆分'!C14:C17,"Andy",'Q3原表与拆分'!D14:D17,21)</x:f>
        <x:v>2</x:v>
      </x:c>
      <x:c r="C7" s="10" t="n">
        <x:v>2</x:v>
      </x:c>
      <x:c r="D7" s="10" t="str">
        <x:v>同名同龄次数；不是同一人的证明。</x:v>
      </x:c>
    </x:row>
    <x:row r="8" ht="47" customHeight="1">
      <x:c r="A8" s="10" t="str">
        <x:v>CashReceipt总金额</x:v>
      </x:c>
      <x:c r="B8" s="24" t="n">
        <x:f>SUM('Q4关系表'!G6:G9)</x:f>
        <x:v>1000</x:v>
      </x:c>
      <x:c r="C8" s="10" t="n">
        <x:v>1000</x:v>
      </x:c>
      <x:c r="D8" s="10" t="str">
        <x:v>未给币种，按原题Amount值相加。</x:v>
      </x:c>
    </x:row>
    <x:row r="9" ht="47" customHeight="1">
      <x:c r="A9" s="10" t="str">
        <x:v>Cashier汇总总金额</x:v>
      </x:c>
      <x:c r="B9" s="24" t="n">
        <x:f>SUM('Q4关系表'!D6:D10)</x:f>
        <x:v>1000</x:v>
      </x:c>
      <x:c r="C9" s="10" t="n">
        <x:v>1000</x:v>
      </x:c>
      <x:c r="D9" s="10" t="str">
        <x:v>应与原收款总额完全一致。</x:v>
      </x:c>
    </x:row>
    <x:row r="10" ht="47" customHeight="1">
      <x:c r="A10" s="10" t="str">
        <x:v>保留收银员行数</x:v>
      </x:c>
      <x:c r="B10" s="24" t="n">
        <x:f>COUNTA('Q4关系表'!A6:A10)</x:f>
        <x:v>5</x:v>
      </x:c>
      <x:c r="C10" s="10" t="n">
        <x:v>5</x:v>
      </x:c>
      <x:c r="D10" s="10" t="str">
        <x:v>包括没有收款的 G/H/I。</x:v>
      </x:c>
    </x:row>
    <x:row r="11" ht="47" customHeight="1">
      <x:c r="A11" s="10" t="str">
        <x:v>有收款的收银员人数</x:v>
      </x:c>
      <x:c r="B11" s="24" t="n">
        <x:f>COUNTIF('Q4关系表'!C6:C10,"&gt;0")</x:f>
        <x:v>2</x:v>
      </x:c>
      <x:c r="C11" s="10" t="n">
        <x:v>2</x:v>
      </x:c>
      <x:c r="D11" s="10" t="str">
        <x:v>F、J；不同于收款记录总数4。</x:v>
      </x:c>
    </x:row>
    <x:row r="12" ht="26" customHeight="1">
      <x:c r="A12" s="10"/>
      <x:c r="B12" s="10"/>
      <x:c r="C12" s="10"/>
      <x:c r="D12" s="10"/>
    </x:row>
    <x:row r="13" ht="26" customHeight="1">
      <x:c r="A13" s="10"/>
      <x:c r="B13" s="10"/>
      <x:c r="C13" s="10"/>
      <x:c r="D13" s="10"/>
    </x:row>
    <x:row r="14" ht="26" customHeight="1">
      <x:c r="A14" s="17" t="str">
        <x:v>Q2关联表的PK/FK并不自动确保“每个退货头至少关联一个采购”。SQLite实验先允许插入无明细退货头，再由事务结束前的业务查询检出并回滚；不能宣称只加外键就实现所有最小多重性。</x:v>
      </x:c>
      <x:c r="B14" s="17"/>
      <x:c r="C14" s="17"/>
      <x:c r="D14" s="17"/>
    </x:row>
    <x:row r="15" ht="26" customHeight="1">
      <x:c r="A15" s="17"/>
      <x:c r="B15" s="17"/>
      <x:c r="C15" s="17"/>
      <x:c r="D15" s="17"/>
    </x:row>
    <x:row r="16" ht="26" customHeight="1">
      <x:c r="A16" s="17"/>
      <x:c r="B16" s="17"/>
      <x:c r="C16" s="17"/>
      <x:c r="D16" s="17"/>
    </x:row>
    <x:row r="17" ht="26" customHeight="1">
      <x:c r="A17" s="10"/>
      <x:c r="B17" s="10"/>
      <x:c r="C17" s="10"/>
      <x:c r="D17" s="10"/>
    </x:row>
    <x:row r="18" ht="26" customHeight="1">
      <x:c r="A18" s="17" t="str">
        <x:v>2026-10-26来源：两照片及Case 4 with Solution.docx已核；旧Canvas受阻是10/7历史，本轮未实时核计分/DDL/提交格式。保持draft，不代表本人已学会/提交。</x:v>
      </x:c>
      <x:c r="B18" s="17"/>
      <x:c r="C18" s="17"/>
      <x:c r="D18" s="17"/>
    </x:row>
    <x:row r="19" ht="26" customHeight="1">
      <x:c r="A19" s="17"/>
      <x:c r="B19" s="17"/>
      <x:c r="C19" s="17"/>
      <x:c r="D19" s="17"/>
    </x:row>
    <x:row r="20" ht="26" customHeight="1">
      <x:c r="A20" s="17"/>
      <x:c r="B20" s="17"/>
      <x:c r="C20" s="17"/>
      <x:c r="D20" s="17"/>
    </x:row>
    <x:row r="21" ht="26" customHeight="1">
      <x:c r="A21" s="10"/>
      <x:c r="B21" s="10"/>
      <x:c r="C21" s="10"/>
      <x:c r="D21" s="10"/>
    </x:row>
    <x:row r="22" ht="26" customHeight="1">
      <x:c r="A22" s="10"/>
      <x:c r="B22" s="10"/>
      <x:c r="C22" s="10"/>
      <x:c r="D22" s="10"/>
    </x:row>
    <x:row r="23" ht="26" customHeight="1">
      <x:c r="A23" s="10"/>
      <x:c r="B23" s="10"/>
      <x:c r="C23" s="10"/>
      <x:c r="D23" s="10"/>
    </x:row>
    <x:row r="24" ht="26" customHeight="1">
      <x:c r="A24" s="10"/>
      <x:c r="B24" s="10"/>
      <x:c r="C24" s="10"/>
      <x:c r="D24" s="10"/>
    </x:row>
    <x:row r="25" ht="26" customHeight="1">
      <x:c r="A25" s="10"/>
      <x:c r="B25" s="10"/>
      <x:c r="C25" s="10"/>
      <x:c r="D25" s="10"/>
    </x:row>
    <x:row r="26" ht="26" customHeight="1">
      <x:c r="A26" s="10"/>
      <x:c r="B26" s="10"/>
      <x:c r="C26" s="10"/>
      <x:c r="D26" s="10"/>
    </x:row>
    <x:row r="27" ht="26" customHeight="1">
      <x:c r="A27" s="10"/>
      <x:c r="B27" s="10"/>
      <x:c r="C27" s="10"/>
      <x:c r="D27" s="10"/>
    </x:row>
    <x:row r="28" ht="26" customHeight="1">
      <x:c r="A28" s="10"/>
      <x:c r="B28" s="10"/>
      <x:c r="C28" s="10"/>
      <x:c r="D28" s="10"/>
    </x:row>
    <x:row r="29" ht="26" customHeight="1">
      <x:c r="A29" s="10"/>
      <x:c r="B29" s="10"/>
      <x:c r="C29" s="10"/>
      <x:c r="D29" s="10"/>
    </x:row>
    <x:row r="30" ht="26" customHeight="1">
      <x:c r="A30" s="10"/>
      <x:c r="B30" s="10"/>
      <x:c r="C30" s="10"/>
      <x:c r="D30" s="10"/>
    </x:row>
    <x:row r="31" ht="26" customHeight="1">
      <x:c r="A31" s="10"/>
      <x:c r="B31" s="10"/>
      <x:c r="C31" s="10"/>
      <x:c r="D31" s="10"/>
    </x:row>
    <x:row r="32" ht="26" customHeight="1">
      <x:c r="A32" s="10"/>
      <x:c r="B32" s="10"/>
      <x:c r="C32" s="10"/>
      <x:c r="D32" s="10"/>
    </x:row>
    <x:row r="33" ht="26" customHeight="1">
      <x:c r="A33" s="10"/>
      <x:c r="B33" s="10"/>
      <x:c r="C33" s="10"/>
      <x:c r="D33" s="10"/>
    </x:row>
    <x:row r="34" ht="26" customHeight="1">
      <x:c r="A34" s="10"/>
      <x:c r="B34" s="10"/>
      <x:c r="C34" s="10"/>
      <x:c r="D34" s="10"/>
    </x:row>
    <x:row r="35" ht="26" customHeight="1">
      <x:c r="A35" s="10"/>
      <x:c r="B35" s="10"/>
      <x:c r="C35" s="10"/>
      <x:c r="D35" s="10"/>
    </x:row>
    <x:row r="36" ht="26" customHeight="1">
      <x:c r="A36" s="10"/>
      <x:c r="B36" s="10"/>
      <x:c r="C36" s="10"/>
      <x:c r="D36" s="10"/>
    </x:row>
    <x:row r="37" ht="26" customHeight="1">
      <x:c r="A37" s="10"/>
      <x:c r="B37" s="10"/>
      <x:c r="C37" s="10"/>
      <x:c r="D37" s="10"/>
    </x:row>
    <x:row r="38" ht="26" customHeight="1">
      <x:c r="A38" s="10"/>
      <x:c r="B38" s="10"/>
      <x:c r="C38" s="10"/>
      <x:c r="D38" s="10"/>
    </x:row>
    <x:row r="39" ht="26" customHeight="1">
      <x:c r="A39" s="10"/>
      <x:c r="B39" s="10"/>
      <x:c r="C39" s="10"/>
      <x:c r="D39" s="10"/>
    </x:row>
    <x:row r="40" ht="26" customHeight="1">
      <x:c r="A40" s="10"/>
      <x:c r="B40" s="10"/>
      <x:c r="C40" s="10"/>
      <x:c r="D40" s="10"/>
    </x:row>
  </x:sheetData>
  <x:mergeCells>
    <x:mergeCell ref="A1:D2"/>
    <x:mergeCell ref="A3:D4"/>
    <x:mergeCell ref="A14:D16"/>
    <x:mergeCell ref="A18:D20"/>
  </x:mergeCells>
  <x:pageMargins left="0.7" right="0.7" top="0.75" bottom="0.75" header="0.3" footer="0.3"/>
</x:worksheet>
</file>